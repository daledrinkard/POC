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epo\POC\RS_D620\documents\"/>
    </mc:Choice>
  </mc:AlternateContent>
  <xr:revisionPtr revIDLastSave="0" documentId="13_ncr:1_{058E56C5-8868-47D2-9F11-BCE8CD9E68B2}" xr6:coauthVersionLast="47" xr6:coauthVersionMax="47" xr10:uidLastSave="{00000000-0000-0000-0000-000000000000}"/>
  <bookViews>
    <workbookView xWindow="-28920" yWindow="-120" windowWidth="29040" windowHeight="15720" xr2:uid="{77793D01-6217-42E2-9AFC-8B7FA38831D5}"/>
  </bookViews>
  <sheets>
    <sheet name="Sheet1" sheetId="1" r:id="rId1"/>
    <sheet name="Sheet2" sheetId="2" r:id="rId2"/>
    <sheet name="Sheet3" sheetId="3" r:id="rId3"/>
    <sheet name="Sheet4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1" i="1" l="1"/>
  <c r="C32" i="1" s="1"/>
  <c r="C33" i="1" s="1"/>
  <c r="C34" i="1" s="1"/>
  <c r="C35" i="1" s="1"/>
  <c r="C36" i="1" s="1"/>
  <c r="C46" i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C6" i="2"/>
  <c r="C7" i="2" s="1"/>
  <c r="D5" i="2"/>
  <c r="G6" i="2"/>
  <c r="E8" i="2"/>
  <c r="B9" i="2"/>
  <c r="E9" i="2" s="1"/>
  <c r="C8" i="2" l="1"/>
  <c r="C9" i="2" s="1"/>
  <c r="D7" i="2"/>
  <c r="D6" i="2"/>
  <c r="C10" i="2"/>
  <c r="D9" i="2"/>
  <c r="B10" i="2"/>
  <c r="D8" i="2"/>
  <c r="B11" i="2" l="1"/>
  <c r="E10" i="2"/>
  <c r="C11" i="2"/>
  <c r="D10" i="2"/>
  <c r="C12" i="2" l="1"/>
  <c r="D11" i="2"/>
  <c r="B12" i="2"/>
  <c r="E11" i="2"/>
  <c r="B13" i="2" l="1"/>
  <c r="E12" i="2"/>
  <c r="C13" i="2"/>
  <c r="D12" i="2"/>
  <c r="C14" i="2" l="1"/>
  <c r="D13" i="2"/>
  <c r="B14" i="2"/>
  <c r="E13" i="2"/>
  <c r="B15" i="2" l="1"/>
  <c r="E14" i="2"/>
  <c r="C15" i="2"/>
  <c r="D14" i="2"/>
  <c r="C16" i="2" l="1"/>
  <c r="D15" i="2"/>
  <c r="B16" i="2"/>
  <c r="E15" i="2"/>
  <c r="B17" i="2" l="1"/>
  <c r="E16" i="2"/>
  <c r="C17" i="2"/>
  <c r="D16" i="2"/>
  <c r="C18" i="2" l="1"/>
  <c r="D17" i="2"/>
  <c r="B18" i="2"/>
  <c r="E17" i="2"/>
  <c r="B19" i="2" l="1"/>
  <c r="E18" i="2"/>
  <c r="C19" i="2"/>
  <c r="D18" i="2"/>
  <c r="B20" i="2" l="1"/>
  <c r="E19" i="2"/>
  <c r="C20" i="2"/>
  <c r="D19" i="2"/>
  <c r="C21" i="2" l="1"/>
  <c r="D20" i="2"/>
  <c r="B21" i="2"/>
  <c r="E20" i="2"/>
  <c r="B22" i="2" l="1"/>
  <c r="E21" i="2"/>
  <c r="C22" i="2"/>
  <c r="D21" i="2"/>
  <c r="C23" i="2" l="1"/>
  <c r="D22" i="2"/>
  <c r="B23" i="2"/>
  <c r="E22" i="2"/>
  <c r="B24" i="2" l="1"/>
  <c r="E23" i="2"/>
  <c r="C24" i="2"/>
  <c r="D23" i="2"/>
  <c r="C25" i="2" l="1"/>
  <c r="D24" i="2"/>
  <c r="B25" i="2"/>
  <c r="E24" i="2"/>
  <c r="B26" i="2" l="1"/>
  <c r="E25" i="2"/>
  <c r="C26" i="2"/>
  <c r="D25" i="2"/>
  <c r="C27" i="2" l="1"/>
  <c r="D26" i="2"/>
  <c r="B27" i="2"/>
  <c r="E26" i="2"/>
  <c r="B28" i="2" l="1"/>
  <c r="E27" i="2"/>
  <c r="C28" i="2"/>
  <c r="D27" i="2"/>
  <c r="C29" i="2" l="1"/>
  <c r="D28" i="2"/>
  <c r="B29" i="2"/>
  <c r="E28" i="2"/>
  <c r="B30" i="2" l="1"/>
  <c r="E29" i="2"/>
  <c r="C30" i="2"/>
  <c r="D29" i="2"/>
  <c r="C31" i="2" l="1"/>
  <c r="D30" i="2"/>
  <c r="B31" i="2"/>
  <c r="E30" i="2"/>
  <c r="B32" i="2" l="1"/>
  <c r="E31" i="2"/>
  <c r="C32" i="2"/>
  <c r="D31" i="2"/>
  <c r="C33" i="2" l="1"/>
  <c r="D32" i="2"/>
  <c r="B33" i="2"/>
  <c r="E32" i="2"/>
  <c r="B34" i="2" l="1"/>
  <c r="E33" i="2"/>
  <c r="C34" i="2"/>
  <c r="D33" i="2"/>
  <c r="C35" i="2" l="1"/>
  <c r="D34" i="2"/>
  <c r="B35" i="2"/>
  <c r="E34" i="2"/>
  <c r="B36" i="2" l="1"/>
  <c r="E35" i="2"/>
  <c r="C36" i="2"/>
  <c r="D35" i="2"/>
  <c r="C37" i="2" l="1"/>
  <c r="D36" i="2"/>
  <c r="B37" i="2"/>
  <c r="E36" i="2"/>
  <c r="B38" i="2" l="1"/>
  <c r="E37" i="2"/>
  <c r="C38" i="2"/>
  <c r="D37" i="2"/>
  <c r="C39" i="2" l="1"/>
  <c r="D38" i="2"/>
  <c r="B39" i="2"/>
  <c r="E39" i="2" s="1"/>
  <c r="E38" i="2"/>
  <c r="D39" i="2" l="1"/>
  <c r="C40" i="2"/>
  <c r="C41" i="2" l="1"/>
  <c r="D40" i="2"/>
  <c r="C42" i="2" l="1"/>
  <c r="D41" i="2"/>
  <c r="D42" i="2" l="1"/>
  <c r="C43" i="2"/>
  <c r="D43" i="2" l="1"/>
  <c r="C44" i="2"/>
  <c r="D44" i="2" l="1"/>
  <c r="C45" i="2"/>
  <c r="D45" i="2" l="1"/>
  <c r="C46" i="2"/>
  <c r="C47" i="2" l="1"/>
  <c r="D46" i="2"/>
  <c r="C48" i="2" l="1"/>
  <c r="D47" i="2"/>
  <c r="D48" i="2" l="1"/>
  <c r="C49" i="2"/>
  <c r="D49" i="2" l="1"/>
  <c r="C50" i="2"/>
  <c r="D50" i="2" l="1"/>
  <c r="C51" i="2"/>
  <c r="C52" i="2" l="1"/>
  <c r="D51" i="2"/>
  <c r="D52" i="2" l="1"/>
  <c r="C53" i="2"/>
  <c r="D53" i="2" l="1"/>
  <c r="C54" i="2"/>
  <c r="C55" i="2" l="1"/>
  <c r="D54" i="2"/>
  <c r="D55" i="2" l="1"/>
  <c r="C56" i="2"/>
  <c r="C57" i="2" l="1"/>
  <c r="D56" i="2"/>
  <c r="C58" i="2" l="1"/>
  <c r="D57" i="2"/>
  <c r="D58" i="2" l="1"/>
  <c r="C59" i="2"/>
  <c r="C60" i="2" l="1"/>
  <c r="D59" i="2"/>
  <c r="C61" i="2" l="1"/>
  <c r="D60" i="2"/>
  <c r="D61" i="2" l="1"/>
  <c r="C62" i="2"/>
  <c r="D62" i="2" l="1"/>
  <c r="C63" i="2"/>
  <c r="C64" i="2" l="1"/>
  <c r="D63" i="2"/>
  <c r="C65" i="2" l="1"/>
  <c r="D64" i="2"/>
  <c r="D65" i="2" l="1"/>
  <c r="C66" i="2"/>
  <c r="C67" i="2" l="1"/>
  <c r="D66" i="2"/>
  <c r="C68" i="2" l="1"/>
  <c r="D67" i="2"/>
  <c r="C69" i="2" l="1"/>
  <c r="D68" i="2"/>
  <c r="D69" i="2" l="1"/>
  <c r="C70" i="2"/>
  <c r="C71" i="2" l="1"/>
  <c r="D70" i="2"/>
  <c r="C72" i="2" l="1"/>
  <c r="D71" i="2"/>
  <c r="C73" i="2" l="1"/>
  <c r="D72" i="2"/>
  <c r="C74" i="2" l="1"/>
  <c r="D73" i="2"/>
  <c r="C75" i="2" l="1"/>
  <c r="D74" i="2"/>
  <c r="C76" i="2" l="1"/>
  <c r="D75" i="2"/>
  <c r="C77" i="2" l="1"/>
  <c r="D76" i="2"/>
  <c r="C78" i="2" l="1"/>
  <c r="D77" i="2"/>
  <c r="D78" i="2" l="1"/>
  <c r="C79" i="2"/>
  <c r="D79" i="2" l="1"/>
  <c r="C80" i="2"/>
  <c r="C81" i="2" l="1"/>
  <c r="D80" i="2"/>
  <c r="D81" i="2" l="1"/>
  <c r="C82" i="2"/>
  <c r="C83" i="2" l="1"/>
  <c r="D82" i="2"/>
  <c r="C84" i="2" l="1"/>
  <c r="D83" i="2"/>
  <c r="D84" i="2" l="1"/>
  <c r="C85" i="2"/>
  <c r="C86" i="2" l="1"/>
  <c r="D85" i="2"/>
  <c r="C87" i="2" l="1"/>
  <c r="D86" i="2"/>
  <c r="D87" i="2" l="1"/>
  <c r="C88" i="2"/>
  <c r="C89" i="2" l="1"/>
  <c r="D88" i="2"/>
  <c r="D89" i="2" l="1"/>
  <c r="C90" i="2"/>
  <c r="C91" i="2" l="1"/>
  <c r="D90" i="2"/>
  <c r="C92" i="2" l="1"/>
  <c r="D91" i="2"/>
  <c r="D92" i="2" l="1"/>
  <c r="C93" i="2"/>
  <c r="D93" i="2" l="1"/>
  <c r="C94" i="2"/>
  <c r="C95" i="2" l="1"/>
  <c r="D94" i="2"/>
  <c r="C96" i="2" l="1"/>
  <c r="D95" i="2"/>
  <c r="C97" i="2" l="1"/>
  <c r="D96" i="2"/>
  <c r="D97" i="2" l="1"/>
  <c r="C98" i="2"/>
  <c r="C99" i="2" l="1"/>
  <c r="D98" i="2"/>
  <c r="D99" i="2" l="1"/>
  <c r="C100" i="2"/>
  <c r="C101" i="2" l="1"/>
  <c r="D100" i="2"/>
  <c r="D101" i="2" l="1"/>
  <c r="C102" i="2"/>
  <c r="C103" i="2" l="1"/>
  <c r="D102" i="2"/>
  <c r="C104" i="2" l="1"/>
  <c r="D103" i="2"/>
  <c r="C105" i="2" l="1"/>
  <c r="D104" i="2"/>
  <c r="C106" i="2" l="1"/>
  <c r="D105" i="2"/>
  <c r="C107" i="2" l="1"/>
  <c r="D106" i="2"/>
  <c r="C108" i="2" l="1"/>
  <c r="D107" i="2"/>
  <c r="C109" i="2" l="1"/>
  <c r="D108" i="2"/>
  <c r="D109" i="2" l="1"/>
  <c r="C110" i="2"/>
  <c r="C111" i="2" l="1"/>
  <c r="D110" i="2"/>
  <c r="D111" i="2" l="1"/>
  <c r="C112" i="2"/>
  <c r="C113" i="2" l="1"/>
  <c r="D112" i="2"/>
  <c r="C114" i="2" l="1"/>
  <c r="D113" i="2"/>
  <c r="C115" i="2" l="1"/>
  <c r="D114" i="2"/>
  <c r="D115" i="2" l="1"/>
  <c r="C116" i="2"/>
  <c r="C117" i="2" l="1"/>
  <c r="D116" i="2"/>
  <c r="C118" i="2" l="1"/>
  <c r="D117" i="2"/>
  <c r="C119" i="2" l="1"/>
  <c r="D118" i="2"/>
  <c r="C120" i="2" l="1"/>
  <c r="D119" i="2"/>
  <c r="C121" i="2" l="1"/>
  <c r="D120" i="2"/>
  <c r="C122" i="2" l="1"/>
  <c r="D121" i="2"/>
  <c r="C123" i="2" l="1"/>
  <c r="D122" i="2"/>
  <c r="C124" i="2" l="1"/>
  <c r="D123" i="2"/>
  <c r="D124" i="2" l="1"/>
  <c r="C125" i="2"/>
  <c r="C126" i="2" l="1"/>
  <c r="D125" i="2"/>
  <c r="C127" i="2" l="1"/>
  <c r="D126" i="2"/>
  <c r="D127" i="2" l="1"/>
  <c r="C128" i="2"/>
  <c r="C129" i="2" l="1"/>
  <c r="D128" i="2"/>
  <c r="D129" i="2" l="1"/>
  <c r="C130" i="2"/>
  <c r="C131" i="2" l="1"/>
  <c r="D130" i="2"/>
  <c r="C132" i="2" l="1"/>
  <c r="D131" i="2"/>
  <c r="C133" i="2" l="1"/>
  <c r="D132" i="2"/>
  <c r="C134" i="2" l="1"/>
  <c r="D134" i="2" s="1"/>
  <c r="D133" i="2"/>
</calcChain>
</file>

<file path=xl/sharedStrings.xml><?xml version="1.0" encoding="utf-8"?>
<sst xmlns="http://schemas.openxmlformats.org/spreadsheetml/2006/main" count="172" uniqueCount="163">
  <si>
    <t>MON1</t>
  </si>
  <si>
    <t>MON2</t>
  </si>
  <si>
    <t>MON3</t>
  </si>
  <si>
    <t>MON4</t>
  </si>
  <si>
    <t>MON5</t>
  </si>
  <si>
    <t>MON6</t>
  </si>
  <si>
    <t>MON7</t>
  </si>
  <si>
    <t>MON8</t>
  </si>
  <si>
    <t>MON9</t>
  </si>
  <si>
    <t>DMON1</t>
  </si>
  <si>
    <t>…</t>
  </si>
  <si>
    <t>MON24</t>
  </si>
  <si>
    <t>EN1</t>
  </si>
  <si>
    <t>MAR1'</t>
  </si>
  <si>
    <t>MAR16'</t>
  </si>
  <si>
    <t>PMBUS_CLK</t>
  </si>
  <si>
    <t>PMBUS_DATA</t>
  </si>
  <si>
    <t>PMBUS_nALERT</t>
  </si>
  <si>
    <t>PMBUS_ADDR0</t>
  </si>
  <si>
    <t>PMBUS_ADDR1</t>
  </si>
  <si>
    <t>PMBUS_ADDR2</t>
  </si>
  <si>
    <t>EK-RA6M5</t>
  </si>
  <si>
    <t>controler config</t>
  </si>
  <si>
    <t>fault_mapping</t>
  </si>
  <si>
    <t>map addr</t>
  </si>
  <si>
    <t>flash</t>
  </si>
  <si>
    <t>*</t>
  </si>
  <si>
    <t>MON10</t>
  </si>
  <si>
    <t>MON11</t>
  </si>
  <si>
    <t>MON12</t>
  </si>
  <si>
    <t>MON13</t>
  </si>
  <si>
    <t>MON14</t>
  </si>
  <si>
    <t>MON15</t>
  </si>
  <si>
    <t>MON16</t>
  </si>
  <si>
    <t>MON17</t>
  </si>
  <si>
    <t>MON18</t>
  </si>
  <si>
    <t>MON19</t>
  </si>
  <si>
    <t>MON20</t>
  </si>
  <si>
    <t>MON21</t>
  </si>
  <si>
    <t>MON22</t>
  </si>
  <si>
    <t>MON23</t>
  </si>
  <si>
    <t>analog only</t>
  </si>
  <si>
    <t>P000</t>
  </si>
  <si>
    <t>P001</t>
  </si>
  <si>
    <t>P002</t>
  </si>
  <si>
    <t>P003</t>
  </si>
  <si>
    <t>P004</t>
  </si>
  <si>
    <t>SW2</t>
  </si>
  <si>
    <t>SW1</t>
  </si>
  <si>
    <t>P005</t>
  </si>
  <si>
    <t>P006</t>
  </si>
  <si>
    <t>P007</t>
  </si>
  <si>
    <t>P008</t>
  </si>
  <si>
    <t>BLUE LED</t>
  </si>
  <si>
    <t>GREEN LED</t>
  </si>
  <si>
    <t>RED LED</t>
  </si>
  <si>
    <t>P009</t>
  </si>
  <si>
    <t>P010</t>
  </si>
  <si>
    <t>AN003</t>
  </si>
  <si>
    <t>AN000/AN100</t>
  </si>
  <si>
    <t>AN001/AN101</t>
  </si>
  <si>
    <t>AN002/AN102</t>
  </si>
  <si>
    <t>AN004</t>
  </si>
  <si>
    <t>AN005</t>
  </si>
  <si>
    <t>AN006</t>
  </si>
  <si>
    <t>AN007</t>
  </si>
  <si>
    <t>AN008</t>
  </si>
  <si>
    <t>AN009</t>
  </si>
  <si>
    <t>AN010</t>
  </si>
  <si>
    <t>P014</t>
  </si>
  <si>
    <t>AN012</t>
  </si>
  <si>
    <t>P015</t>
  </si>
  <si>
    <t>AN013</t>
  </si>
  <si>
    <t>P500</t>
  </si>
  <si>
    <t>P501</t>
  </si>
  <si>
    <t>P502</t>
  </si>
  <si>
    <t>P503</t>
  </si>
  <si>
    <t>P504</t>
  </si>
  <si>
    <t>P505</t>
  </si>
  <si>
    <t>P506</t>
  </si>
  <si>
    <t>P507</t>
  </si>
  <si>
    <t>P508</t>
  </si>
  <si>
    <t>P800</t>
  </si>
  <si>
    <t>P801</t>
  </si>
  <si>
    <t>P802</t>
  </si>
  <si>
    <t>AN116</t>
  </si>
  <si>
    <t>AN117</t>
  </si>
  <si>
    <t>AN118</t>
  </si>
  <si>
    <t>AN119</t>
  </si>
  <si>
    <t>AN120</t>
  </si>
  <si>
    <t>AN121</t>
  </si>
  <si>
    <t>AN122</t>
  </si>
  <si>
    <t>AN123</t>
  </si>
  <si>
    <t>AN124</t>
  </si>
  <si>
    <t>AN125</t>
  </si>
  <si>
    <t>AN126</t>
  </si>
  <si>
    <t>P803</t>
  </si>
  <si>
    <t>AN127</t>
  </si>
  <si>
    <t>AN128</t>
  </si>
  <si>
    <t>USB</t>
  </si>
  <si>
    <t>1k5 pullup</t>
  </si>
  <si>
    <t>1k5 pulluo</t>
  </si>
  <si>
    <t>P105</t>
  </si>
  <si>
    <t>P206</t>
  </si>
  <si>
    <t>P400</t>
  </si>
  <si>
    <t>P806</t>
  </si>
  <si>
    <t>IRQ0</t>
  </si>
  <si>
    <t>IRQ1</t>
  </si>
  <si>
    <t>P101</t>
  </si>
  <si>
    <t>P104</t>
  </si>
  <si>
    <t>P205</t>
  </si>
  <si>
    <t>P804</t>
  </si>
  <si>
    <t>IRQ2</t>
  </si>
  <si>
    <t>P100</t>
  </si>
  <si>
    <t>P203</t>
  </si>
  <si>
    <t>P213</t>
  </si>
  <si>
    <t>P110</t>
  </si>
  <si>
    <t>P202</t>
  </si>
  <si>
    <t>P212</t>
  </si>
  <si>
    <t>P111</t>
  </si>
  <si>
    <t>IRQ3</t>
  </si>
  <si>
    <t>IRQ4</t>
  </si>
  <si>
    <t>P402</t>
  </si>
  <si>
    <t>P411</t>
  </si>
  <si>
    <t>PA10</t>
  </si>
  <si>
    <t>IRQ5</t>
  </si>
  <si>
    <t>P302</t>
  </si>
  <si>
    <t>P401</t>
  </si>
  <si>
    <t>P410</t>
  </si>
  <si>
    <t>PA09</t>
  </si>
  <si>
    <t>IRQ6</t>
  </si>
  <si>
    <t>P301</t>
  </si>
  <si>
    <t>P409 (2)</t>
  </si>
  <si>
    <t>PA08</t>
  </si>
  <si>
    <t>IRQ7</t>
  </si>
  <si>
    <t>P408</t>
  </si>
  <si>
    <t>P615</t>
  </si>
  <si>
    <t>P706</t>
  </si>
  <si>
    <t>IRQ8</t>
  </si>
  <si>
    <t>P305 (6)</t>
  </si>
  <si>
    <t>P415 (7)</t>
  </si>
  <si>
    <t>&lt;-- 1k5 pu</t>
  </si>
  <si>
    <t>P707</t>
  </si>
  <si>
    <t>force low</t>
  </si>
  <si>
    <t>P905</t>
  </si>
  <si>
    <t>IRQ9</t>
  </si>
  <si>
    <t>P304</t>
  </si>
  <si>
    <t>P414</t>
  </si>
  <si>
    <t>IRQ10</t>
  </si>
  <si>
    <t>IRQ11</t>
  </si>
  <si>
    <t>IRQ14</t>
  </si>
  <si>
    <t>IRQ15</t>
  </si>
  <si>
    <t>P906</t>
  </si>
  <si>
    <t>P907</t>
  </si>
  <si>
    <t>P908</t>
  </si>
  <si>
    <t>P708</t>
  </si>
  <si>
    <t>P403</t>
  </si>
  <si>
    <t>P512</t>
  </si>
  <si>
    <t>SCL</t>
  </si>
  <si>
    <t>P404</t>
  </si>
  <si>
    <t>P511</t>
  </si>
  <si>
    <t>SDA</t>
  </si>
  <si>
    <t>Interrupt table pin map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</si>
</sst>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" fontId="0" fillId="0" borderId="0" xfId="0" quotePrefix="1" applyNumberFormat="1"/>
    <xf numFmtId="17" fontId="0" fillId="0" borderId="0" xfId="0" quotePrefix="1" applyNumberFormat="1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center"/>
    </xf>
    <xf numFmtId="0" fontId="0" fillId="0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96B8D-FE2F-4541-9D73-52590DEE3D06}">
  <dimension ref="A2:K90"/>
  <sheetViews>
    <sheetView tabSelected="1" topLeftCell="A40" workbookViewId="0">
      <selection activeCell="G54" sqref="G54"/>
    </sheetView>
  </sheetViews>
  <sheetFormatPr defaultRowHeight="15" x14ac:dyDescent="0.25"/>
  <cols>
    <col min="1" max="1" width="12" customWidth="1"/>
    <col min="2" max="2" width="19.5703125" customWidth="1"/>
    <col min="3" max="3" width="16.140625" customWidth="1"/>
    <col min="5" max="5" width="14.42578125" customWidth="1"/>
    <col min="10" max="10" width="15.85546875" customWidth="1"/>
    <col min="11" max="11" width="13.7109375" customWidth="1"/>
  </cols>
  <sheetData>
    <row r="2" spans="1:5" x14ac:dyDescent="0.25">
      <c r="B2" s="5" t="s">
        <v>21</v>
      </c>
    </row>
    <row r="3" spans="1:5" x14ac:dyDescent="0.25">
      <c r="C3" t="s">
        <v>0</v>
      </c>
      <c r="D3" t="s">
        <v>42</v>
      </c>
      <c r="E3" t="s">
        <v>59</v>
      </c>
    </row>
    <row r="4" spans="1:5" x14ac:dyDescent="0.25">
      <c r="C4" t="s">
        <v>1</v>
      </c>
      <c r="D4" t="s">
        <v>43</v>
      </c>
      <c r="E4" t="s">
        <v>60</v>
      </c>
    </row>
    <row r="5" spans="1:5" x14ac:dyDescent="0.25">
      <c r="C5" t="s">
        <v>2</v>
      </c>
      <c r="D5" t="s">
        <v>44</v>
      </c>
      <c r="E5" t="s">
        <v>61</v>
      </c>
    </row>
    <row r="6" spans="1:5" x14ac:dyDescent="0.25">
      <c r="C6" t="s">
        <v>3</v>
      </c>
      <c r="D6" t="s">
        <v>45</v>
      </c>
      <c r="E6" t="s">
        <v>58</v>
      </c>
    </row>
    <row r="7" spans="1:5" x14ac:dyDescent="0.25">
      <c r="B7" s="4" t="s">
        <v>47</v>
      </c>
      <c r="C7" t="s">
        <v>4</v>
      </c>
      <c r="D7" t="s">
        <v>46</v>
      </c>
      <c r="E7" t="s">
        <v>62</v>
      </c>
    </row>
    <row r="8" spans="1:5" x14ac:dyDescent="0.25">
      <c r="B8" s="4" t="s">
        <v>48</v>
      </c>
      <c r="C8" t="s">
        <v>5</v>
      </c>
      <c r="D8" t="s">
        <v>49</v>
      </c>
      <c r="E8" t="s">
        <v>63</v>
      </c>
    </row>
    <row r="9" spans="1:5" x14ac:dyDescent="0.25">
      <c r="B9" s="4" t="s">
        <v>53</v>
      </c>
      <c r="C9" t="s">
        <v>6</v>
      </c>
      <c r="D9" t="s">
        <v>50</v>
      </c>
      <c r="E9" t="s">
        <v>64</v>
      </c>
    </row>
    <row r="10" spans="1:5" x14ac:dyDescent="0.25">
      <c r="B10" s="4" t="s">
        <v>54</v>
      </c>
      <c r="C10" t="s">
        <v>7</v>
      </c>
      <c r="D10" t="s">
        <v>51</v>
      </c>
      <c r="E10" t="s">
        <v>65</v>
      </c>
    </row>
    <row r="11" spans="1:5" x14ac:dyDescent="0.25">
      <c r="A11" t="s">
        <v>41</v>
      </c>
      <c r="B11" s="4" t="s">
        <v>55</v>
      </c>
      <c r="C11" s="3" t="s">
        <v>8</v>
      </c>
      <c r="D11" t="s">
        <v>52</v>
      </c>
      <c r="E11" t="s">
        <v>66</v>
      </c>
    </row>
    <row r="12" spans="1:5" x14ac:dyDescent="0.25">
      <c r="B12" s="6" t="s">
        <v>41</v>
      </c>
      <c r="C12" t="s">
        <v>27</v>
      </c>
      <c r="D12" t="s">
        <v>56</v>
      </c>
      <c r="E12" t="s">
        <v>67</v>
      </c>
    </row>
    <row r="13" spans="1:5" x14ac:dyDescent="0.25">
      <c r="B13" s="6" t="s">
        <v>41</v>
      </c>
      <c r="C13" t="s">
        <v>28</v>
      </c>
      <c r="D13" t="s">
        <v>57</v>
      </c>
      <c r="E13" t="s">
        <v>68</v>
      </c>
    </row>
    <row r="14" spans="1:5" x14ac:dyDescent="0.25">
      <c r="A14" t="s">
        <v>41</v>
      </c>
      <c r="B14" s="6" t="s">
        <v>41</v>
      </c>
      <c r="C14" s="3" t="s">
        <v>29</v>
      </c>
      <c r="D14" t="s">
        <v>69</v>
      </c>
      <c r="E14" t="s">
        <v>70</v>
      </c>
    </row>
    <row r="15" spans="1:5" x14ac:dyDescent="0.25">
      <c r="C15" t="s">
        <v>30</v>
      </c>
      <c r="D15" t="s">
        <v>71</v>
      </c>
      <c r="E15" t="s">
        <v>72</v>
      </c>
    </row>
    <row r="16" spans="1:5" x14ac:dyDescent="0.25">
      <c r="B16" s="4" t="s">
        <v>99</v>
      </c>
      <c r="C16" t="s">
        <v>31</v>
      </c>
      <c r="D16" t="s">
        <v>73</v>
      </c>
      <c r="E16" t="s">
        <v>85</v>
      </c>
    </row>
    <row r="17" spans="1:10" x14ac:dyDescent="0.25">
      <c r="B17" s="4" t="s">
        <v>99</v>
      </c>
      <c r="C17" t="s">
        <v>32</v>
      </c>
      <c r="D17" t="s">
        <v>74</v>
      </c>
      <c r="E17" t="s">
        <v>86</v>
      </c>
    </row>
    <row r="18" spans="1:10" x14ac:dyDescent="0.25">
      <c r="A18" t="s">
        <v>41</v>
      </c>
      <c r="C18" s="3" t="s">
        <v>33</v>
      </c>
      <c r="D18" t="s">
        <v>75</v>
      </c>
      <c r="E18" t="s">
        <v>87</v>
      </c>
    </row>
    <row r="19" spans="1:10" x14ac:dyDescent="0.25">
      <c r="C19" t="s">
        <v>34</v>
      </c>
      <c r="D19" t="s">
        <v>76</v>
      </c>
      <c r="E19" t="s">
        <v>88</v>
      </c>
    </row>
    <row r="20" spans="1:10" x14ac:dyDescent="0.25">
      <c r="C20" t="s">
        <v>35</v>
      </c>
      <c r="D20" t="s">
        <v>77</v>
      </c>
      <c r="E20" t="s">
        <v>89</v>
      </c>
    </row>
    <row r="21" spans="1:10" x14ac:dyDescent="0.25">
      <c r="B21" s="7" t="s">
        <v>100</v>
      </c>
      <c r="C21" t="s">
        <v>36</v>
      </c>
      <c r="D21" t="s">
        <v>78</v>
      </c>
      <c r="E21" t="s">
        <v>90</v>
      </c>
    </row>
    <row r="22" spans="1:10" x14ac:dyDescent="0.25">
      <c r="B22" s="7" t="s">
        <v>101</v>
      </c>
      <c r="C22" t="s">
        <v>37</v>
      </c>
      <c r="D22" t="s">
        <v>79</v>
      </c>
      <c r="E22" t="s">
        <v>91</v>
      </c>
    </row>
    <row r="23" spans="1:10" x14ac:dyDescent="0.25">
      <c r="C23" t="s">
        <v>38</v>
      </c>
      <c r="D23" t="s">
        <v>80</v>
      </c>
      <c r="E23" t="s">
        <v>92</v>
      </c>
    </row>
    <row r="24" spans="1:10" x14ac:dyDescent="0.25">
      <c r="C24" t="s">
        <v>39</v>
      </c>
      <c r="D24" t="s">
        <v>81</v>
      </c>
      <c r="E24" t="s">
        <v>93</v>
      </c>
    </row>
    <row r="25" spans="1:10" x14ac:dyDescent="0.25">
      <c r="C25" t="s">
        <v>40</v>
      </c>
      <c r="D25" t="s">
        <v>82</v>
      </c>
      <c r="E25" t="s">
        <v>94</v>
      </c>
    </row>
    <row r="26" spans="1:10" x14ac:dyDescent="0.25">
      <c r="C26" t="s">
        <v>11</v>
      </c>
      <c r="D26" t="s">
        <v>83</v>
      </c>
      <c r="E26" t="s">
        <v>95</v>
      </c>
    </row>
    <row r="27" spans="1:10" x14ac:dyDescent="0.25">
      <c r="D27" t="s">
        <v>84</v>
      </c>
      <c r="E27" t="s">
        <v>97</v>
      </c>
    </row>
    <row r="28" spans="1:10" x14ac:dyDescent="0.25">
      <c r="D28" t="s">
        <v>96</v>
      </c>
      <c r="E28" t="s">
        <v>98</v>
      </c>
    </row>
    <row r="29" spans="1:10" x14ac:dyDescent="0.25">
      <c r="D29" s="12" t="s">
        <v>162</v>
      </c>
      <c r="E29" s="12"/>
      <c r="F29" s="12"/>
      <c r="G29" s="12"/>
      <c r="H29" s="12"/>
      <c r="I29" s="12"/>
      <c r="J29" s="12"/>
    </row>
    <row r="30" spans="1:10" x14ac:dyDescent="0.25">
      <c r="C30" t="s">
        <v>9</v>
      </c>
      <c r="E30" t="s">
        <v>106</v>
      </c>
      <c r="F30" t="s">
        <v>102</v>
      </c>
      <c r="G30" t="s">
        <v>103</v>
      </c>
      <c r="H30" t="s">
        <v>104</v>
      </c>
      <c r="I30" t="s">
        <v>105</v>
      </c>
    </row>
    <row r="31" spans="1:10" x14ac:dyDescent="0.25">
      <c r="C31" t="str">
        <f>_xlfn.CONCAT("DMON",RIGHT(C30,1)+1)</f>
        <v>DMON2</v>
      </c>
      <c r="E31" t="s">
        <v>107</v>
      </c>
      <c r="F31" t="s">
        <v>108</v>
      </c>
      <c r="G31" t="s">
        <v>109</v>
      </c>
      <c r="H31" t="s">
        <v>110</v>
      </c>
      <c r="I31" t="s">
        <v>111</v>
      </c>
    </row>
    <row r="32" spans="1:10" x14ac:dyDescent="0.25">
      <c r="C32" t="str">
        <f t="shared" ref="C32:C36" si="0">_xlfn.CONCAT("DMON",RIGHT(C31,1)+1)</f>
        <v>DMON3</v>
      </c>
      <c r="E32" t="s">
        <v>112</v>
      </c>
      <c r="F32" t="s">
        <v>113</v>
      </c>
      <c r="G32" t="s">
        <v>114</v>
      </c>
      <c r="H32" s="4" t="s">
        <v>115</v>
      </c>
      <c r="I32" s="6"/>
    </row>
    <row r="33" spans="2:11" x14ac:dyDescent="0.25">
      <c r="C33" t="str">
        <f t="shared" si="0"/>
        <v>DMON4</v>
      </c>
      <c r="E33" t="s">
        <v>120</v>
      </c>
      <c r="F33" s="4" t="s">
        <v>116</v>
      </c>
      <c r="G33" t="s">
        <v>117</v>
      </c>
      <c r="H33" s="4" t="s">
        <v>118</v>
      </c>
    </row>
    <row r="34" spans="2:11" x14ac:dyDescent="0.25">
      <c r="C34" t="str">
        <f t="shared" si="0"/>
        <v>DMON5</v>
      </c>
      <c r="E34" t="s">
        <v>121</v>
      </c>
      <c r="F34" t="s">
        <v>119</v>
      </c>
      <c r="G34" t="s">
        <v>122</v>
      </c>
      <c r="H34" t="s">
        <v>123</v>
      </c>
      <c r="I34" t="s">
        <v>124</v>
      </c>
    </row>
    <row r="35" spans="2:11" x14ac:dyDescent="0.25">
      <c r="C35" t="str">
        <f t="shared" si="0"/>
        <v>DMON6</v>
      </c>
      <c r="E35" t="s">
        <v>125</v>
      </c>
      <c r="F35" t="s">
        <v>126</v>
      </c>
      <c r="G35" t="s">
        <v>127</v>
      </c>
      <c r="H35" t="s">
        <v>128</v>
      </c>
      <c r="I35" t="s">
        <v>129</v>
      </c>
    </row>
    <row r="36" spans="2:11" x14ac:dyDescent="0.25">
      <c r="C36" t="str">
        <f t="shared" si="0"/>
        <v>DMON7</v>
      </c>
      <c r="E36" t="s">
        <v>130</v>
      </c>
      <c r="F36" t="s">
        <v>131</v>
      </c>
      <c r="G36" s="8" t="s">
        <v>132</v>
      </c>
      <c r="I36" t="s">
        <v>133</v>
      </c>
    </row>
    <row r="37" spans="2:11" x14ac:dyDescent="0.25">
      <c r="E37" t="s">
        <v>134</v>
      </c>
      <c r="F37" t="s">
        <v>135</v>
      </c>
      <c r="G37" s="6" t="s">
        <v>136</v>
      </c>
      <c r="H37" s="6" t="s">
        <v>137</v>
      </c>
    </row>
    <row r="38" spans="2:11" x14ac:dyDescent="0.25">
      <c r="E38" t="s">
        <v>138</v>
      </c>
      <c r="F38" s="9" t="s">
        <v>139</v>
      </c>
      <c r="G38" s="9" t="s">
        <v>140</v>
      </c>
      <c r="H38" s="10" t="s">
        <v>142</v>
      </c>
      <c r="I38" t="s">
        <v>144</v>
      </c>
      <c r="J38" s="9" t="s">
        <v>141</v>
      </c>
      <c r="K38" s="10" t="s">
        <v>143</v>
      </c>
    </row>
    <row r="39" spans="2:11" x14ac:dyDescent="0.25">
      <c r="E39" t="s">
        <v>145</v>
      </c>
      <c r="F39" s="7" t="s">
        <v>146</v>
      </c>
      <c r="G39" s="7" t="s">
        <v>147</v>
      </c>
      <c r="I39" t="s">
        <v>152</v>
      </c>
    </row>
    <row r="40" spans="2:11" x14ac:dyDescent="0.25">
      <c r="E40" t="s">
        <v>148</v>
      </c>
      <c r="G40" s="6"/>
      <c r="I40" t="s">
        <v>153</v>
      </c>
    </row>
    <row r="41" spans="2:11" x14ac:dyDescent="0.25">
      <c r="E41" t="s">
        <v>149</v>
      </c>
      <c r="H41" t="s">
        <v>155</v>
      </c>
      <c r="I41" t="s">
        <v>154</v>
      </c>
    </row>
    <row r="42" spans="2:11" x14ac:dyDescent="0.25">
      <c r="B42" s="11" t="s">
        <v>158</v>
      </c>
      <c r="E42" t="s">
        <v>150</v>
      </c>
      <c r="G42" t="s">
        <v>156</v>
      </c>
      <c r="H42" s="11" t="s">
        <v>157</v>
      </c>
      <c r="K42" s="11" t="s">
        <v>158</v>
      </c>
    </row>
    <row r="43" spans="2:11" x14ac:dyDescent="0.25">
      <c r="B43" s="11" t="s">
        <v>161</v>
      </c>
      <c r="E43" t="s">
        <v>151</v>
      </c>
      <c r="G43" t="s">
        <v>159</v>
      </c>
      <c r="H43" s="11" t="s">
        <v>160</v>
      </c>
      <c r="K43" s="11" t="s">
        <v>161</v>
      </c>
    </row>
    <row r="45" spans="2:11" x14ac:dyDescent="0.25">
      <c r="C45" t="s">
        <v>12</v>
      </c>
    </row>
    <row r="46" spans="2:11" x14ac:dyDescent="0.25">
      <c r="C46" t="str">
        <f>_xlfn.CONCAT("EN",RIGHT(C45,1)+1)</f>
        <v>EN2</v>
      </c>
    </row>
    <row r="47" spans="2:11" x14ac:dyDescent="0.25">
      <c r="C47" t="str">
        <f t="shared" ref="C47:C54" si="1">_xlfn.CONCAT("EN",RIGHT(C46,1)+1)</f>
        <v>EN3</v>
      </c>
    </row>
    <row r="48" spans="2:11" x14ac:dyDescent="0.25">
      <c r="C48" t="str">
        <f t="shared" si="1"/>
        <v>EN4</v>
      </c>
    </row>
    <row r="49" spans="3:3" x14ac:dyDescent="0.25">
      <c r="C49" t="str">
        <f t="shared" si="1"/>
        <v>EN5</v>
      </c>
    </row>
    <row r="50" spans="3:3" x14ac:dyDescent="0.25">
      <c r="C50" t="str">
        <f t="shared" si="1"/>
        <v>EN6</v>
      </c>
    </row>
    <row r="51" spans="3:3" x14ac:dyDescent="0.25">
      <c r="C51" t="str">
        <f t="shared" si="1"/>
        <v>EN7</v>
      </c>
    </row>
    <row r="52" spans="3:3" x14ac:dyDescent="0.25">
      <c r="C52" t="str">
        <f t="shared" si="1"/>
        <v>EN8</v>
      </c>
    </row>
    <row r="53" spans="3:3" x14ac:dyDescent="0.25">
      <c r="C53" t="str">
        <f t="shared" si="1"/>
        <v>EN9</v>
      </c>
    </row>
    <row r="54" spans="3:3" x14ac:dyDescent="0.25">
      <c r="C54" t="str">
        <f t="shared" si="1"/>
        <v>EN10</v>
      </c>
    </row>
    <row r="55" spans="3:3" x14ac:dyDescent="0.25">
      <c r="C55" t="str">
        <f>_xlfn.CONCAT("EN",RIGHT(C54,2)+1)</f>
        <v>EN11</v>
      </c>
    </row>
    <row r="56" spans="3:3" x14ac:dyDescent="0.25">
      <c r="C56" t="str">
        <f t="shared" ref="C56:C75" si="2">_xlfn.CONCAT("EN",RIGHT(C55,2)+1)</f>
        <v>EN12</v>
      </c>
    </row>
    <row r="57" spans="3:3" x14ac:dyDescent="0.25">
      <c r="C57" t="str">
        <f t="shared" si="2"/>
        <v>EN13</v>
      </c>
    </row>
    <row r="58" spans="3:3" x14ac:dyDescent="0.25">
      <c r="C58" t="str">
        <f t="shared" si="2"/>
        <v>EN14</v>
      </c>
    </row>
    <row r="59" spans="3:3" x14ac:dyDescent="0.25">
      <c r="C59" t="str">
        <f t="shared" si="2"/>
        <v>EN15</v>
      </c>
    </row>
    <row r="60" spans="3:3" x14ac:dyDescent="0.25">
      <c r="C60" t="str">
        <f t="shared" si="2"/>
        <v>EN16</v>
      </c>
    </row>
    <row r="61" spans="3:3" x14ac:dyDescent="0.25">
      <c r="C61" t="str">
        <f t="shared" si="2"/>
        <v>EN17</v>
      </c>
    </row>
    <row r="62" spans="3:3" x14ac:dyDescent="0.25">
      <c r="C62" t="str">
        <f t="shared" si="2"/>
        <v>EN18</v>
      </c>
    </row>
    <row r="63" spans="3:3" x14ac:dyDescent="0.25">
      <c r="C63" t="str">
        <f t="shared" si="2"/>
        <v>EN19</v>
      </c>
    </row>
    <row r="64" spans="3:3" x14ac:dyDescent="0.25">
      <c r="C64" t="str">
        <f t="shared" si="2"/>
        <v>EN20</v>
      </c>
    </row>
    <row r="65" spans="3:3" x14ac:dyDescent="0.25">
      <c r="C65" t="str">
        <f t="shared" si="2"/>
        <v>EN21</v>
      </c>
    </row>
    <row r="66" spans="3:3" x14ac:dyDescent="0.25">
      <c r="C66" t="str">
        <f t="shared" si="2"/>
        <v>EN22</v>
      </c>
    </row>
    <row r="67" spans="3:3" x14ac:dyDescent="0.25">
      <c r="C67" t="str">
        <f t="shared" si="2"/>
        <v>EN23</v>
      </c>
    </row>
    <row r="68" spans="3:3" x14ac:dyDescent="0.25">
      <c r="C68" t="str">
        <f t="shared" si="2"/>
        <v>EN24</v>
      </c>
    </row>
    <row r="69" spans="3:3" x14ac:dyDescent="0.25">
      <c r="C69" t="str">
        <f t="shared" si="2"/>
        <v>EN25</v>
      </c>
    </row>
    <row r="70" spans="3:3" x14ac:dyDescent="0.25">
      <c r="C70" t="str">
        <f t="shared" si="2"/>
        <v>EN26</v>
      </c>
    </row>
    <row r="71" spans="3:3" x14ac:dyDescent="0.25">
      <c r="C71" t="str">
        <f t="shared" si="2"/>
        <v>EN27</v>
      </c>
    </row>
    <row r="72" spans="3:3" x14ac:dyDescent="0.25">
      <c r="C72" t="str">
        <f t="shared" si="2"/>
        <v>EN28</v>
      </c>
    </row>
    <row r="73" spans="3:3" x14ac:dyDescent="0.25">
      <c r="C73" t="str">
        <f t="shared" si="2"/>
        <v>EN29</v>
      </c>
    </row>
    <row r="74" spans="3:3" x14ac:dyDescent="0.25">
      <c r="C74" t="str">
        <f t="shared" si="2"/>
        <v>EN30</v>
      </c>
    </row>
    <row r="75" spans="3:3" x14ac:dyDescent="0.25">
      <c r="C75" t="str">
        <f t="shared" si="2"/>
        <v>EN31</v>
      </c>
    </row>
    <row r="81" spans="3:3" x14ac:dyDescent="0.25">
      <c r="C81" t="s">
        <v>15</v>
      </c>
    </row>
    <row r="82" spans="3:3" x14ac:dyDescent="0.25">
      <c r="C82" t="s">
        <v>16</v>
      </c>
    </row>
    <row r="83" spans="3:3" x14ac:dyDescent="0.25">
      <c r="C83" t="s">
        <v>17</v>
      </c>
    </row>
    <row r="84" spans="3:3" x14ac:dyDescent="0.25">
      <c r="C84" t="s">
        <v>18</v>
      </c>
    </row>
    <row r="85" spans="3:3" x14ac:dyDescent="0.25">
      <c r="C85" t="s">
        <v>19</v>
      </c>
    </row>
    <row r="86" spans="3:3" x14ac:dyDescent="0.25">
      <c r="C86" t="s">
        <v>20</v>
      </c>
    </row>
    <row r="88" spans="3:3" x14ac:dyDescent="0.25">
      <c r="C88" s="1" t="s">
        <v>13</v>
      </c>
    </row>
    <row r="89" spans="3:3" x14ac:dyDescent="0.25">
      <c r="C89" t="s">
        <v>10</v>
      </c>
    </row>
    <row r="90" spans="3:3" x14ac:dyDescent="0.25">
      <c r="C90" s="2" t="s">
        <v>14</v>
      </c>
    </row>
  </sheetData>
  <mergeCells count="1">
    <mergeCell ref="D29:J2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98AE8-DFFF-4238-AAA6-7A00A365BB2F}">
  <dimension ref="A1:J134"/>
  <sheetViews>
    <sheetView workbookViewId="0">
      <selection activeCell="I10" sqref="I10"/>
    </sheetView>
  </sheetViews>
  <sheetFormatPr defaultRowHeight="15" x14ac:dyDescent="0.25"/>
  <cols>
    <col min="4" max="4" width="11" customWidth="1"/>
    <col min="5" max="5" width="30.28515625" customWidth="1"/>
    <col min="9" max="9" width="23.28515625" customWidth="1"/>
    <col min="10" max="10" width="13.140625" customWidth="1"/>
  </cols>
  <sheetData>
    <row r="1" spans="1:10" x14ac:dyDescent="0.25">
      <c r="A1" t="s">
        <v>21</v>
      </c>
    </row>
    <row r="5" spans="1:10" x14ac:dyDescent="0.25">
      <c r="C5">
        <v>0</v>
      </c>
      <c r="D5" t="str">
        <f>_xlfn.CONCAT("0x",DEC2HEX(C5,8))</f>
        <v>0x00000000</v>
      </c>
      <c r="E5" t="s">
        <v>22</v>
      </c>
      <c r="I5">
        <v>536871968</v>
      </c>
      <c r="J5" t="str">
        <f>_xlfn.CONCAT("0x",DEC2HEX(I5,8))</f>
        <v>0x20000420</v>
      </c>
    </row>
    <row r="6" spans="1:10" x14ac:dyDescent="0.25">
      <c r="C6">
        <f t="shared" ref="C6:C39" si="0">C5+64</f>
        <v>64</v>
      </c>
      <c r="D6" t="str">
        <f>_xlfn.CONCAT("0x",DEC2HEX(C6,8))</f>
        <v>0x00000040</v>
      </c>
      <c r="E6" t="s">
        <v>23</v>
      </c>
      <c r="G6">
        <f>64*32</f>
        <v>2048</v>
      </c>
      <c r="I6">
        <v>153</v>
      </c>
      <c r="J6" t="str">
        <f t="shared" ref="J6:J18" si="1">_xlfn.CONCAT("0x",DEC2HEX(I6,8))</f>
        <v>0x00000099</v>
      </c>
    </row>
    <row r="7" spans="1:10" x14ac:dyDescent="0.25">
      <c r="C7">
        <f t="shared" si="0"/>
        <v>128</v>
      </c>
      <c r="D7" t="str">
        <f>_xlfn.CONCAT("0x",DEC2HEX(C7,8))</f>
        <v>0x00000080</v>
      </c>
      <c r="E7" t="s">
        <v>24</v>
      </c>
      <c r="I7">
        <v>1113</v>
      </c>
      <c r="J7" t="str">
        <f t="shared" si="1"/>
        <v>0x00000459</v>
      </c>
    </row>
    <row r="8" spans="1:10" x14ac:dyDescent="0.25">
      <c r="B8">
        <v>0</v>
      </c>
      <c r="C8">
        <f t="shared" si="0"/>
        <v>192</v>
      </c>
      <c r="D8" t="str">
        <f>_xlfn.CONCAT("0x",DEC2HEX(C8,8))</f>
        <v>0x000000C0</v>
      </c>
      <c r="E8" t="str">
        <f>_xlfn.CONCAT("rail[",B8,"]")</f>
        <v>rail[0]</v>
      </c>
      <c r="I8">
        <v>163</v>
      </c>
      <c r="J8" t="str">
        <f t="shared" si="1"/>
        <v>0x000000A3</v>
      </c>
    </row>
    <row r="9" spans="1:10" x14ac:dyDescent="0.25">
      <c r="B9">
        <f>B8+1</f>
        <v>1</v>
      </c>
      <c r="C9">
        <f t="shared" si="0"/>
        <v>256</v>
      </c>
      <c r="D9" t="str">
        <f t="shared" ref="D9:D72" si="2">_xlfn.CONCAT("0x",DEC2HEX(C9,8))</f>
        <v>0x00000100</v>
      </c>
      <c r="E9" t="str">
        <f t="shared" ref="E9:E39" si="3">_xlfn.CONCAT("rail[",B9,"]")</f>
        <v>rail[1]</v>
      </c>
      <c r="I9">
        <v>16777216</v>
      </c>
      <c r="J9" t="str">
        <f t="shared" si="1"/>
        <v>0x01000000</v>
      </c>
    </row>
    <row r="10" spans="1:10" x14ac:dyDescent="0.25">
      <c r="B10">
        <f t="shared" ref="B10:B39" si="4">B9+1</f>
        <v>2</v>
      </c>
      <c r="C10">
        <f t="shared" si="0"/>
        <v>320</v>
      </c>
      <c r="D10" t="str">
        <f t="shared" si="2"/>
        <v>0x00000140</v>
      </c>
      <c r="E10" t="str">
        <f t="shared" si="3"/>
        <v>rail[2]</v>
      </c>
      <c r="J10" t="str">
        <f t="shared" si="1"/>
        <v>0x00000000</v>
      </c>
    </row>
    <row r="11" spans="1:10" x14ac:dyDescent="0.25">
      <c r="B11">
        <f t="shared" si="4"/>
        <v>3</v>
      </c>
      <c r="C11">
        <f t="shared" si="0"/>
        <v>384</v>
      </c>
      <c r="D11" t="str">
        <f t="shared" si="2"/>
        <v>0x00000180</v>
      </c>
      <c r="E11" t="str">
        <f t="shared" si="3"/>
        <v>rail[3]</v>
      </c>
      <c r="J11" t="str">
        <f t="shared" si="1"/>
        <v>0x00000000</v>
      </c>
    </row>
    <row r="12" spans="1:10" x14ac:dyDescent="0.25">
      <c r="B12">
        <f t="shared" si="4"/>
        <v>4</v>
      </c>
      <c r="C12">
        <f t="shared" si="0"/>
        <v>448</v>
      </c>
      <c r="D12" t="str">
        <f t="shared" si="2"/>
        <v>0x000001C0</v>
      </c>
      <c r="E12" t="str">
        <f t="shared" si="3"/>
        <v>rail[4]</v>
      </c>
      <c r="J12" t="str">
        <f t="shared" si="1"/>
        <v>0x00000000</v>
      </c>
    </row>
    <row r="13" spans="1:10" x14ac:dyDescent="0.25">
      <c r="B13">
        <f t="shared" si="4"/>
        <v>5</v>
      </c>
      <c r="C13">
        <f t="shared" si="0"/>
        <v>512</v>
      </c>
      <c r="D13" t="str">
        <f t="shared" si="2"/>
        <v>0x00000200</v>
      </c>
      <c r="E13" t="str">
        <f t="shared" si="3"/>
        <v>rail[5]</v>
      </c>
      <c r="J13" t="str">
        <f t="shared" si="1"/>
        <v>0x00000000</v>
      </c>
    </row>
    <row r="14" spans="1:10" x14ac:dyDescent="0.25">
      <c r="B14">
        <f t="shared" si="4"/>
        <v>6</v>
      </c>
      <c r="C14">
        <f t="shared" si="0"/>
        <v>576</v>
      </c>
      <c r="D14" t="str">
        <f t="shared" si="2"/>
        <v>0x00000240</v>
      </c>
      <c r="E14" t="str">
        <f t="shared" si="3"/>
        <v>rail[6]</v>
      </c>
      <c r="J14" t="str">
        <f t="shared" si="1"/>
        <v>0x00000000</v>
      </c>
    </row>
    <row r="15" spans="1:10" x14ac:dyDescent="0.25">
      <c r="B15">
        <f t="shared" si="4"/>
        <v>7</v>
      </c>
      <c r="C15">
        <f t="shared" si="0"/>
        <v>640</v>
      </c>
      <c r="D15" t="str">
        <f t="shared" si="2"/>
        <v>0x00000280</v>
      </c>
      <c r="E15" t="str">
        <f t="shared" si="3"/>
        <v>rail[7]</v>
      </c>
      <c r="J15" t="str">
        <f t="shared" si="1"/>
        <v>0x00000000</v>
      </c>
    </row>
    <row r="16" spans="1:10" x14ac:dyDescent="0.25">
      <c r="B16">
        <f t="shared" si="4"/>
        <v>8</v>
      </c>
      <c r="C16">
        <f t="shared" si="0"/>
        <v>704</v>
      </c>
      <c r="D16" t="str">
        <f t="shared" si="2"/>
        <v>0x000002C0</v>
      </c>
      <c r="E16" t="str">
        <f t="shared" si="3"/>
        <v>rail[8]</v>
      </c>
      <c r="J16" t="str">
        <f t="shared" si="1"/>
        <v>0x00000000</v>
      </c>
    </row>
    <row r="17" spans="2:10" x14ac:dyDescent="0.25">
      <c r="B17">
        <f t="shared" si="4"/>
        <v>9</v>
      </c>
      <c r="C17">
        <f t="shared" si="0"/>
        <v>768</v>
      </c>
      <c r="D17" t="str">
        <f t="shared" si="2"/>
        <v>0x00000300</v>
      </c>
      <c r="E17" t="str">
        <f t="shared" si="3"/>
        <v>rail[9]</v>
      </c>
      <c r="J17" t="str">
        <f t="shared" si="1"/>
        <v>0x00000000</v>
      </c>
    </row>
    <row r="18" spans="2:10" x14ac:dyDescent="0.25">
      <c r="B18">
        <f t="shared" si="4"/>
        <v>10</v>
      </c>
      <c r="C18">
        <f t="shared" si="0"/>
        <v>832</v>
      </c>
      <c r="D18" t="str">
        <f t="shared" si="2"/>
        <v>0x00000340</v>
      </c>
      <c r="E18" t="str">
        <f t="shared" si="3"/>
        <v>rail[10]</v>
      </c>
      <c r="J18" t="str">
        <f t="shared" si="1"/>
        <v>0x00000000</v>
      </c>
    </row>
    <row r="19" spans="2:10" x14ac:dyDescent="0.25">
      <c r="B19">
        <f t="shared" si="4"/>
        <v>11</v>
      </c>
      <c r="C19">
        <f t="shared" si="0"/>
        <v>896</v>
      </c>
      <c r="D19" t="str">
        <f t="shared" si="2"/>
        <v>0x00000380</v>
      </c>
      <c r="E19" t="str">
        <f t="shared" si="3"/>
        <v>rail[11]</v>
      </c>
    </row>
    <row r="20" spans="2:10" x14ac:dyDescent="0.25">
      <c r="B20">
        <f t="shared" si="4"/>
        <v>12</v>
      </c>
      <c r="C20">
        <f t="shared" si="0"/>
        <v>960</v>
      </c>
      <c r="D20" t="str">
        <f t="shared" si="2"/>
        <v>0x000003C0</v>
      </c>
      <c r="E20" t="str">
        <f t="shared" si="3"/>
        <v>rail[12]</v>
      </c>
    </row>
    <row r="21" spans="2:10" x14ac:dyDescent="0.25">
      <c r="B21">
        <f t="shared" si="4"/>
        <v>13</v>
      </c>
      <c r="C21">
        <f t="shared" si="0"/>
        <v>1024</v>
      </c>
      <c r="D21" t="str">
        <f t="shared" si="2"/>
        <v>0x00000400</v>
      </c>
      <c r="E21" t="str">
        <f t="shared" si="3"/>
        <v>rail[13]</v>
      </c>
    </row>
    <row r="22" spans="2:10" x14ac:dyDescent="0.25">
      <c r="B22">
        <f t="shared" si="4"/>
        <v>14</v>
      </c>
      <c r="C22">
        <f t="shared" si="0"/>
        <v>1088</v>
      </c>
      <c r="D22" t="str">
        <f t="shared" si="2"/>
        <v>0x00000440</v>
      </c>
      <c r="E22" t="str">
        <f t="shared" si="3"/>
        <v>rail[14]</v>
      </c>
    </row>
    <row r="23" spans="2:10" x14ac:dyDescent="0.25">
      <c r="B23">
        <f t="shared" si="4"/>
        <v>15</v>
      </c>
      <c r="C23">
        <f t="shared" si="0"/>
        <v>1152</v>
      </c>
      <c r="D23" t="str">
        <f t="shared" si="2"/>
        <v>0x00000480</v>
      </c>
      <c r="E23" t="str">
        <f t="shared" si="3"/>
        <v>rail[15]</v>
      </c>
    </row>
    <row r="24" spans="2:10" x14ac:dyDescent="0.25">
      <c r="B24">
        <f t="shared" si="4"/>
        <v>16</v>
      </c>
      <c r="C24">
        <f t="shared" si="0"/>
        <v>1216</v>
      </c>
      <c r="D24" t="str">
        <f t="shared" si="2"/>
        <v>0x000004C0</v>
      </c>
      <c r="E24" t="str">
        <f t="shared" si="3"/>
        <v>rail[16]</v>
      </c>
    </row>
    <row r="25" spans="2:10" x14ac:dyDescent="0.25">
      <c r="B25">
        <f t="shared" si="4"/>
        <v>17</v>
      </c>
      <c r="C25">
        <f t="shared" si="0"/>
        <v>1280</v>
      </c>
      <c r="D25" t="str">
        <f t="shared" si="2"/>
        <v>0x00000500</v>
      </c>
      <c r="E25" t="str">
        <f t="shared" si="3"/>
        <v>rail[17]</v>
      </c>
    </row>
    <row r="26" spans="2:10" x14ac:dyDescent="0.25">
      <c r="B26">
        <f t="shared" si="4"/>
        <v>18</v>
      </c>
      <c r="C26">
        <f t="shared" si="0"/>
        <v>1344</v>
      </c>
      <c r="D26" t="str">
        <f t="shared" si="2"/>
        <v>0x00000540</v>
      </c>
      <c r="E26" t="str">
        <f t="shared" si="3"/>
        <v>rail[18]</v>
      </c>
    </row>
    <row r="27" spans="2:10" x14ac:dyDescent="0.25">
      <c r="B27">
        <f t="shared" si="4"/>
        <v>19</v>
      </c>
      <c r="C27">
        <f t="shared" si="0"/>
        <v>1408</v>
      </c>
      <c r="D27" t="str">
        <f t="shared" si="2"/>
        <v>0x00000580</v>
      </c>
      <c r="E27" t="str">
        <f t="shared" si="3"/>
        <v>rail[19]</v>
      </c>
    </row>
    <row r="28" spans="2:10" x14ac:dyDescent="0.25">
      <c r="B28">
        <f t="shared" si="4"/>
        <v>20</v>
      </c>
      <c r="C28">
        <f t="shared" si="0"/>
        <v>1472</v>
      </c>
      <c r="D28" t="str">
        <f t="shared" si="2"/>
        <v>0x000005C0</v>
      </c>
      <c r="E28" t="str">
        <f t="shared" si="3"/>
        <v>rail[20]</v>
      </c>
    </row>
    <row r="29" spans="2:10" x14ac:dyDescent="0.25">
      <c r="B29">
        <f t="shared" si="4"/>
        <v>21</v>
      </c>
      <c r="C29">
        <f t="shared" si="0"/>
        <v>1536</v>
      </c>
      <c r="D29" t="str">
        <f t="shared" si="2"/>
        <v>0x00000600</v>
      </c>
      <c r="E29" t="str">
        <f t="shared" si="3"/>
        <v>rail[21]</v>
      </c>
    </row>
    <row r="30" spans="2:10" x14ac:dyDescent="0.25">
      <c r="B30">
        <f t="shared" si="4"/>
        <v>22</v>
      </c>
      <c r="C30">
        <f t="shared" si="0"/>
        <v>1600</v>
      </c>
      <c r="D30" t="str">
        <f t="shared" si="2"/>
        <v>0x00000640</v>
      </c>
      <c r="E30" t="str">
        <f t="shared" si="3"/>
        <v>rail[22]</v>
      </c>
    </row>
    <row r="31" spans="2:10" x14ac:dyDescent="0.25">
      <c r="B31">
        <f t="shared" si="4"/>
        <v>23</v>
      </c>
      <c r="C31">
        <f t="shared" si="0"/>
        <v>1664</v>
      </c>
      <c r="D31" t="str">
        <f t="shared" si="2"/>
        <v>0x00000680</v>
      </c>
      <c r="E31" t="str">
        <f t="shared" si="3"/>
        <v>rail[23]</v>
      </c>
    </row>
    <row r="32" spans="2:10" x14ac:dyDescent="0.25">
      <c r="B32">
        <f t="shared" si="4"/>
        <v>24</v>
      </c>
      <c r="C32">
        <f t="shared" si="0"/>
        <v>1728</v>
      </c>
      <c r="D32" t="str">
        <f t="shared" si="2"/>
        <v>0x000006C0</v>
      </c>
      <c r="E32" t="str">
        <f t="shared" si="3"/>
        <v>rail[24]</v>
      </c>
    </row>
    <row r="33" spans="2:5" x14ac:dyDescent="0.25">
      <c r="B33">
        <f t="shared" si="4"/>
        <v>25</v>
      </c>
      <c r="C33">
        <f t="shared" si="0"/>
        <v>1792</v>
      </c>
      <c r="D33" t="str">
        <f t="shared" si="2"/>
        <v>0x00000700</v>
      </c>
      <c r="E33" t="str">
        <f t="shared" si="3"/>
        <v>rail[25]</v>
      </c>
    </row>
    <row r="34" spans="2:5" x14ac:dyDescent="0.25">
      <c r="B34">
        <f t="shared" si="4"/>
        <v>26</v>
      </c>
      <c r="C34">
        <f t="shared" si="0"/>
        <v>1856</v>
      </c>
      <c r="D34" t="str">
        <f t="shared" si="2"/>
        <v>0x00000740</v>
      </c>
      <c r="E34" t="str">
        <f t="shared" si="3"/>
        <v>rail[26]</v>
      </c>
    </row>
    <row r="35" spans="2:5" x14ac:dyDescent="0.25">
      <c r="B35">
        <f t="shared" si="4"/>
        <v>27</v>
      </c>
      <c r="C35">
        <f t="shared" si="0"/>
        <v>1920</v>
      </c>
      <c r="D35" t="str">
        <f t="shared" si="2"/>
        <v>0x00000780</v>
      </c>
      <c r="E35" t="str">
        <f t="shared" si="3"/>
        <v>rail[27]</v>
      </c>
    </row>
    <row r="36" spans="2:5" x14ac:dyDescent="0.25">
      <c r="B36">
        <f t="shared" si="4"/>
        <v>28</v>
      </c>
      <c r="C36">
        <f t="shared" si="0"/>
        <v>1984</v>
      </c>
      <c r="D36" t="str">
        <f t="shared" si="2"/>
        <v>0x000007C0</v>
      </c>
      <c r="E36" t="str">
        <f t="shared" si="3"/>
        <v>rail[28]</v>
      </c>
    </row>
    <row r="37" spans="2:5" x14ac:dyDescent="0.25">
      <c r="B37">
        <f t="shared" si="4"/>
        <v>29</v>
      </c>
      <c r="C37">
        <f t="shared" si="0"/>
        <v>2048</v>
      </c>
      <c r="D37" t="str">
        <f t="shared" si="2"/>
        <v>0x00000800</v>
      </c>
      <c r="E37" t="str">
        <f t="shared" si="3"/>
        <v>rail[29]</v>
      </c>
    </row>
    <row r="38" spans="2:5" x14ac:dyDescent="0.25">
      <c r="B38">
        <f t="shared" si="4"/>
        <v>30</v>
      </c>
      <c r="C38">
        <f t="shared" si="0"/>
        <v>2112</v>
      </c>
      <c r="D38" t="str">
        <f t="shared" si="2"/>
        <v>0x00000840</v>
      </c>
      <c r="E38" t="str">
        <f t="shared" si="3"/>
        <v>rail[30]</v>
      </c>
    </row>
    <row r="39" spans="2:5" x14ac:dyDescent="0.25">
      <c r="B39">
        <f t="shared" si="4"/>
        <v>31</v>
      </c>
      <c r="C39">
        <f t="shared" si="0"/>
        <v>2176</v>
      </c>
      <c r="D39" t="str">
        <f t="shared" si="2"/>
        <v>0x00000880</v>
      </c>
      <c r="E39" t="str">
        <f t="shared" si="3"/>
        <v>rail[31]</v>
      </c>
    </row>
    <row r="40" spans="2:5" x14ac:dyDescent="0.25">
      <c r="C40">
        <f t="shared" ref="C40:C103" si="5">C39+64</f>
        <v>2240</v>
      </c>
      <c r="D40" t="str">
        <f t="shared" si="2"/>
        <v>0x000008C0</v>
      </c>
    </row>
    <row r="41" spans="2:5" x14ac:dyDescent="0.25">
      <c r="C41">
        <f t="shared" si="5"/>
        <v>2304</v>
      </c>
      <c r="D41" t="str">
        <f t="shared" si="2"/>
        <v>0x00000900</v>
      </c>
    </row>
    <row r="42" spans="2:5" x14ac:dyDescent="0.25">
      <c r="C42">
        <f t="shared" si="5"/>
        <v>2368</v>
      </c>
      <c r="D42" t="str">
        <f t="shared" si="2"/>
        <v>0x00000940</v>
      </c>
    </row>
    <row r="43" spans="2:5" x14ac:dyDescent="0.25">
      <c r="C43">
        <f t="shared" si="5"/>
        <v>2432</v>
      </c>
      <c r="D43" t="str">
        <f t="shared" si="2"/>
        <v>0x00000980</v>
      </c>
    </row>
    <row r="44" spans="2:5" x14ac:dyDescent="0.25">
      <c r="C44">
        <f t="shared" si="5"/>
        <v>2496</v>
      </c>
      <c r="D44" t="str">
        <f t="shared" si="2"/>
        <v>0x000009C0</v>
      </c>
    </row>
    <row r="45" spans="2:5" x14ac:dyDescent="0.25">
      <c r="C45">
        <f t="shared" si="5"/>
        <v>2560</v>
      </c>
      <c r="D45" t="str">
        <f t="shared" si="2"/>
        <v>0x00000A00</v>
      </c>
    </row>
    <row r="46" spans="2:5" x14ac:dyDescent="0.25">
      <c r="C46">
        <f t="shared" si="5"/>
        <v>2624</v>
      </c>
      <c r="D46" t="str">
        <f t="shared" si="2"/>
        <v>0x00000A40</v>
      </c>
    </row>
    <row r="47" spans="2:5" x14ac:dyDescent="0.25">
      <c r="C47">
        <f t="shared" si="5"/>
        <v>2688</v>
      </c>
      <c r="D47" t="str">
        <f t="shared" si="2"/>
        <v>0x00000A80</v>
      </c>
    </row>
    <row r="48" spans="2:5" x14ac:dyDescent="0.25">
      <c r="C48">
        <f t="shared" si="5"/>
        <v>2752</v>
      </c>
      <c r="D48" t="str">
        <f t="shared" si="2"/>
        <v>0x00000AC0</v>
      </c>
    </row>
    <row r="49" spans="3:4" x14ac:dyDescent="0.25">
      <c r="C49">
        <f t="shared" si="5"/>
        <v>2816</v>
      </c>
      <c r="D49" t="str">
        <f t="shared" si="2"/>
        <v>0x00000B00</v>
      </c>
    </row>
    <row r="50" spans="3:4" x14ac:dyDescent="0.25">
      <c r="C50">
        <f t="shared" si="5"/>
        <v>2880</v>
      </c>
      <c r="D50" t="str">
        <f t="shared" si="2"/>
        <v>0x00000B40</v>
      </c>
    </row>
    <row r="51" spans="3:4" x14ac:dyDescent="0.25">
      <c r="C51">
        <f t="shared" si="5"/>
        <v>2944</v>
      </c>
      <c r="D51" t="str">
        <f t="shared" si="2"/>
        <v>0x00000B80</v>
      </c>
    </row>
    <row r="52" spans="3:4" x14ac:dyDescent="0.25">
      <c r="C52">
        <f t="shared" si="5"/>
        <v>3008</v>
      </c>
      <c r="D52" t="str">
        <f t="shared" si="2"/>
        <v>0x00000BC0</v>
      </c>
    </row>
    <row r="53" spans="3:4" x14ac:dyDescent="0.25">
      <c r="C53">
        <f t="shared" si="5"/>
        <v>3072</v>
      </c>
      <c r="D53" t="str">
        <f t="shared" si="2"/>
        <v>0x00000C00</v>
      </c>
    </row>
    <row r="54" spans="3:4" x14ac:dyDescent="0.25">
      <c r="C54">
        <f t="shared" si="5"/>
        <v>3136</v>
      </c>
      <c r="D54" t="str">
        <f t="shared" si="2"/>
        <v>0x00000C40</v>
      </c>
    </row>
    <row r="55" spans="3:4" x14ac:dyDescent="0.25">
      <c r="C55">
        <f t="shared" si="5"/>
        <v>3200</v>
      </c>
      <c r="D55" t="str">
        <f t="shared" si="2"/>
        <v>0x00000C80</v>
      </c>
    </row>
    <row r="56" spans="3:4" x14ac:dyDescent="0.25">
      <c r="C56">
        <f t="shared" si="5"/>
        <v>3264</v>
      </c>
      <c r="D56" t="str">
        <f t="shared" si="2"/>
        <v>0x00000CC0</v>
      </c>
    </row>
    <row r="57" spans="3:4" x14ac:dyDescent="0.25">
      <c r="C57">
        <f t="shared" si="5"/>
        <v>3328</v>
      </c>
      <c r="D57" t="str">
        <f t="shared" si="2"/>
        <v>0x00000D00</v>
      </c>
    </row>
    <row r="58" spans="3:4" x14ac:dyDescent="0.25">
      <c r="C58">
        <f t="shared" si="5"/>
        <v>3392</v>
      </c>
      <c r="D58" t="str">
        <f t="shared" si="2"/>
        <v>0x00000D40</v>
      </c>
    </row>
    <row r="59" spans="3:4" x14ac:dyDescent="0.25">
      <c r="C59">
        <f t="shared" si="5"/>
        <v>3456</v>
      </c>
      <c r="D59" t="str">
        <f t="shared" si="2"/>
        <v>0x00000D80</v>
      </c>
    </row>
    <row r="60" spans="3:4" x14ac:dyDescent="0.25">
      <c r="C60">
        <f t="shared" si="5"/>
        <v>3520</v>
      </c>
      <c r="D60" t="str">
        <f t="shared" si="2"/>
        <v>0x00000DC0</v>
      </c>
    </row>
    <row r="61" spans="3:4" x14ac:dyDescent="0.25">
      <c r="C61">
        <f t="shared" si="5"/>
        <v>3584</v>
      </c>
      <c r="D61" t="str">
        <f t="shared" si="2"/>
        <v>0x00000E00</v>
      </c>
    </row>
    <row r="62" spans="3:4" x14ac:dyDescent="0.25">
      <c r="C62">
        <f t="shared" si="5"/>
        <v>3648</v>
      </c>
      <c r="D62" t="str">
        <f t="shared" si="2"/>
        <v>0x00000E40</v>
      </c>
    </row>
    <row r="63" spans="3:4" x14ac:dyDescent="0.25">
      <c r="C63">
        <f t="shared" si="5"/>
        <v>3712</v>
      </c>
      <c r="D63" t="str">
        <f t="shared" si="2"/>
        <v>0x00000E80</v>
      </c>
    </row>
    <row r="64" spans="3:4" x14ac:dyDescent="0.25">
      <c r="C64">
        <f t="shared" si="5"/>
        <v>3776</v>
      </c>
      <c r="D64" t="str">
        <f t="shared" si="2"/>
        <v>0x00000EC0</v>
      </c>
    </row>
    <row r="65" spans="3:4" x14ac:dyDescent="0.25">
      <c r="C65">
        <f t="shared" si="5"/>
        <v>3840</v>
      </c>
      <c r="D65" t="str">
        <f t="shared" si="2"/>
        <v>0x00000F00</v>
      </c>
    </row>
    <row r="66" spans="3:4" x14ac:dyDescent="0.25">
      <c r="C66">
        <f t="shared" si="5"/>
        <v>3904</v>
      </c>
      <c r="D66" t="str">
        <f t="shared" si="2"/>
        <v>0x00000F40</v>
      </c>
    </row>
    <row r="67" spans="3:4" x14ac:dyDescent="0.25">
      <c r="C67">
        <f t="shared" si="5"/>
        <v>3968</v>
      </c>
      <c r="D67" t="str">
        <f t="shared" si="2"/>
        <v>0x00000F80</v>
      </c>
    </row>
    <row r="68" spans="3:4" x14ac:dyDescent="0.25">
      <c r="C68">
        <f t="shared" si="5"/>
        <v>4032</v>
      </c>
      <c r="D68" t="str">
        <f t="shared" si="2"/>
        <v>0x00000FC0</v>
      </c>
    </row>
    <row r="69" spans="3:4" x14ac:dyDescent="0.25">
      <c r="C69">
        <f t="shared" si="5"/>
        <v>4096</v>
      </c>
      <c r="D69" t="str">
        <f t="shared" si="2"/>
        <v>0x00001000</v>
      </c>
    </row>
    <row r="70" spans="3:4" x14ac:dyDescent="0.25">
      <c r="C70">
        <f t="shared" si="5"/>
        <v>4160</v>
      </c>
      <c r="D70" t="str">
        <f t="shared" si="2"/>
        <v>0x00001040</v>
      </c>
    </row>
    <row r="71" spans="3:4" x14ac:dyDescent="0.25">
      <c r="C71">
        <f t="shared" si="5"/>
        <v>4224</v>
      </c>
      <c r="D71" t="str">
        <f t="shared" si="2"/>
        <v>0x00001080</v>
      </c>
    </row>
    <row r="72" spans="3:4" x14ac:dyDescent="0.25">
      <c r="C72">
        <f t="shared" si="5"/>
        <v>4288</v>
      </c>
      <c r="D72" t="str">
        <f t="shared" si="2"/>
        <v>0x000010C0</v>
      </c>
    </row>
    <row r="73" spans="3:4" x14ac:dyDescent="0.25">
      <c r="C73">
        <f t="shared" si="5"/>
        <v>4352</v>
      </c>
      <c r="D73" t="str">
        <f t="shared" ref="D73:D136" si="6">_xlfn.CONCAT("0x",DEC2HEX(C73,8))</f>
        <v>0x00001100</v>
      </c>
    </row>
    <row r="74" spans="3:4" x14ac:dyDescent="0.25">
      <c r="C74">
        <f t="shared" si="5"/>
        <v>4416</v>
      </c>
      <c r="D74" t="str">
        <f t="shared" si="6"/>
        <v>0x00001140</v>
      </c>
    </row>
    <row r="75" spans="3:4" x14ac:dyDescent="0.25">
      <c r="C75">
        <f t="shared" si="5"/>
        <v>4480</v>
      </c>
      <c r="D75" t="str">
        <f t="shared" si="6"/>
        <v>0x00001180</v>
      </c>
    </row>
    <row r="76" spans="3:4" x14ac:dyDescent="0.25">
      <c r="C76">
        <f t="shared" si="5"/>
        <v>4544</v>
      </c>
      <c r="D76" t="str">
        <f t="shared" si="6"/>
        <v>0x000011C0</v>
      </c>
    </row>
    <row r="77" spans="3:4" x14ac:dyDescent="0.25">
      <c r="C77">
        <f t="shared" si="5"/>
        <v>4608</v>
      </c>
      <c r="D77" t="str">
        <f t="shared" si="6"/>
        <v>0x00001200</v>
      </c>
    </row>
    <row r="78" spans="3:4" x14ac:dyDescent="0.25">
      <c r="C78">
        <f t="shared" si="5"/>
        <v>4672</v>
      </c>
      <c r="D78" t="str">
        <f t="shared" si="6"/>
        <v>0x00001240</v>
      </c>
    </row>
    <row r="79" spans="3:4" x14ac:dyDescent="0.25">
      <c r="C79">
        <f t="shared" si="5"/>
        <v>4736</v>
      </c>
      <c r="D79" t="str">
        <f t="shared" si="6"/>
        <v>0x00001280</v>
      </c>
    </row>
    <row r="80" spans="3:4" x14ac:dyDescent="0.25">
      <c r="C80">
        <f t="shared" si="5"/>
        <v>4800</v>
      </c>
      <c r="D80" t="str">
        <f t="shared" si="6"/>
        <v>0x000012C0</v>
      </c>
    </row>
    <row r="81" spans="3:4" x14ac:dyDescent="0.25">
      <c r="C81">
        <f t="shared" si="5"/>
        <v>4864</v>
      </c>
      <c r="D81" t="str">
        <f t="shared" si="6"/>
        <v>0x00001300</v>
      </c>
    </row>
    <row r="82" spans="3:4" x14ac:dyDescent="0.25">
      <c r="C82">
        <f t="shared" si="5"/>
        <v>4928</v>
      </c>
      <c r="D82" t="str">
        <f t="shared" si="6"/>
        <v>0x00001340</v>
      </c>
    </row>
    <row r="83" spans="3:4" x14ac:dyDescent="0.25">
      <c r="C83">
        <f t="shared" si="5"/>
        <v>4992</v>
      </c>
      <c r="D83" t="str">
        <f t="shared" si="6"/>
        <v>0x00001380</v>
      </c>
    </row>
    <row r="84" spans="3:4" x14ac:dyDescent="0.25">
      <c r="C84">
        <f t="shared" si="5"/>
        <v>5056</v>
      </c>
      <c r="D84" t="str">
        <f t="shared" si="6"/>
        <v>0x000013C0</v>
      </c>
    </row>
    <row r="85" spans="3:4" x14ac:dyDescent="0.25">
      <c r="C85">
        <f t="shared" si="5"/>
        <v>5120</v>
      </c>
      <c r="D85" t="str">
        <f t="shared" si="6"/>
        <v>0x00001400</v>
      </c>
    </row>
    <row r="86" spans="3:4" x14ac:dyDescent="0.25">
      <c r="C86">
        <f t="shared" si="5"/>
        <v>5184</v>
      </c>
      <c r="D86" t="str">
        <f t="shared" si="6"/>
        <v>0x00001440</v>
      </c>
    </row>
    <row r="87" spans="3:4" x14ac:dyDescent="0.25">
      <c r="C87">
        <f t="shared" si="5"/>
        <v>5248</v>
      </c>
      <c r="D87" t="str">
        <f t="shared" si="6"/>
        <v>0x00001480</v>
      </c>
    </row>
    <row r="88" spans="3:4" x14ac:dyDescent="0.25">
      <c r="C88">
        <f t="shared" si="5"/>
        <v>5312</v>
      </c>
      <c r="D88" t="str">
        <f t="shared" si="6"/>
        <v>0x000014C0</v>
      </c>
    </row>
    <row r="89" spans="3:4" x14ac:dyDescent="0.25">
      <c r="C89">
        <f t="shared" si="5"/>
        <v>5376</v>
      </c>
      <c r="D89" t="str">
        <f t="shared" si="6"/>
        <v>0x00001500</v>
      </c>
    </row>
    <row r="90" spans="3:4" x14ac:dyDescent="0.25">
      <c r="C90">
        <f t="shared" si="5"/>
        <v>5440</v>
      </c>
      <c r="D90" t="str">
        <f t="shared" si="6"/>
        <v>0x00001540</v>
      </c>
    </row>
    <row r="91" spans="3:4" x14ac:dyDescent="0.25">
      <c r="C91">
        <f t="shared" si="5"/>
        <v>5504</v>
      </c>
      <c r="D91" t="str">
        <f t="shared" si="6"/>
        <v>0x00001580</v>
      </c>
    </row>
    <row r="92" spans="3:4" x14ac:dyDescent="0.25">
      <c r="C92">
        <f t="shared" si="5"/>
        <v>5568</v>
      </c>
      <c r="D92" t="str">
        <f t="shared" si="6"/>
        <v>0x000015C0</v>
      </c>
    </row>
    <row r="93" spans="3:4" x14ac:dyDescent="0.25">
      <c r="C93">
        <f t="shared" si="5"/>
        <v>5632</v>
      </c>
      <c r="D93" t="str">
        <f t="shared" si="6"/>
        <v>0x00001600</v>
      </c>
    </row>
    <row r="94" spans="3:4" x14ac:dyDescent="0.25">
      <c r="C94">
        <f t="shared" si="5"/>
        <v>5696</v>
      </c>
      <c r="D94" t="str">
        <f t="shared" si="6"/>
        <v>0x00001640</v>
      </c>
    </row>
    <row r="95" spans="3:4" x14ac:dyDescent="0.25">
      <c r="C95">
        <f t="shared" si="5"/>
        <v>5760</v>
      </c>
      <c r="D95" t="str">
        <f t="shared" si="6"/>
        <v>0x00001680</v>
      </c>
    </row>
    <row r="96" spans="3:4" x14ac:dyDescent="0.25">
      <c r="C96">
        <f t="shared" si="5"/>
        <v>5824</v>
      </c>
      <c r="D96" t="str">
        <f t="shared" si="6"/>
        <v>0x000016C0</v>
      </c>
    </row>
    <row r="97" spans="3:4" x14ac:dyDescent="0.25">
      <c r="C97">
        <f t="shared" si="5"/>
        <v>5888</v>
      </c>
      <c r="D97" t="str">
        <f t="shared" si="6"/>
        <v>0x00001700</v>
      </c>
    </row>
    <row r="98" spans="3:4" x14ac:dyDescent="0.25">
      <c r="C98">
        <f t="shared" si="5"/>
        <v>5952</v>
      </c>
      <c r="D98" t="str">
        <f t="shared" si="6"/>
        <v>0x00001740</v>
      </c>
    </row>
    <row r="99" spans="3:4" x14ac:dyDescent="0.25">
      <c r="C99">
        <f t="shared" si="5"/>
        <v>6016</v>
      </c>
      <c r="D99" t="str">
        <f t="shared" si="6"/>
        <v>0x00001780</v>
      </c>
    </row>
    <row r="100" spans="3:4" x14ac:dyDescent="0.25">
      <c r="C100">
        <f t="shared" si="5"/>
        <v>6080</v>
      </c>
      <c r="D100" t="str">
        <f t="shared" si="6"/>
        <v>0x000017C0</v>
      </c>
    </row>
    <row r="101" spans="3:4" x14ac:dyDescent="0.25">
      <c r="C101">
        <f t="shared" si="5"/>
        <v>6144</v>
      </c>
      <c r="D101" t="str">
        <f t="shared" si="6"/>
        <v>0x00001800</v>
      </c>
    </row>
    <row r="102" spans="3:4" x14ac:dyDescent="0.25">
      <c r="C102">
        <f t="shared" si="5"/>
        <v>6208</v>
      </c>
      <c r="D102" t="str">
        <f t="shared" si="6"/>
        <v>0x00001840</v>
      </c>
    </row>
    <row r="103" spans="3:4" x14ac:dyDescent="0.25">
      <c r="C103">
        <f t="shared" si="5"/>
        <v>6272</v>
      </c>
      <c r="D103" t="str">
        <f t="shared" si="6"/>
        <v>0x00001880</v>
      </c>
    </row>
    <row r="104" spans="3:4" x14ac:dyDescent="0.25">
      <c r="C104">
        <f t="shared" ref="C104:C145" si="7">C103+64</f>
        <v>6336</v>
      </c>
      <c r="D104" t="str">
        <f t="shared" si="6"/>
        <v>0x000018C0</v>
      </c>
    </row>
    <row r="105" spans="3:4" x14ac:dyDescent="0.25">
      <c r="C105">
        <f t="shared" si="7"/>
        <v>6400</v>
      </c>
      <c r="D105" t="str">
        <f t="shared" si="6"/>
        <v>0x00001900</v>
      </c>
    </row>
    <row r="106" spans="3:4" x14ac:dyDescent="0.25">
      <c r="C106">
        <f t="shared" si="7"/>
        <v>6464</v>
      </c>
      <c r="D106" t="str">
        <f t="shared" si="6"/>
        <v>0x00001940</v>
      </c>
    </row>
    <row r="107" spans="3:4" x14ac:dyDescent="0.25">
      <c r="C107">
        <f t="shared" si="7"/>
        <v>6528</v>
      </c>
      <c r="D107" t="str">
        <f t="shared" si="6"/>
        <v>0x00001980</v>
      </c>
    </row>
    <row r="108" spans="3:4" x14ac:dyDescent="0.25">
      <c r="C108">
        <f t="shared" si="7"/>
        <v>6592</v>
      </c>
      <c r="D108" t="str">
        <f t="shared" si="6"/>
        <v>0x000019C0</v>
      </c>
    </row>
    <row r="109" spans="3:4" x14ac:dyDescent="0.25">
      <c r="C109">
        <f t="shared" si="7"/>
        <v>6656</v>
      </c>
      <c r="D109" t="str">
        <f t="shared" si="6"/>
        <v>0x00001A00</v>
      </c>
    </row>
    <row r="110" spans="3:4" x14ac:dyDescent="0.25">
      <c r="C110">
        <f t="shared" si="7"/>
        <v>6720</v>
      </c>
      <c r="D110" t="str">
        <f t="shared" si="6"/>
        <v>0x00001A40</v>
      </c>
    </row>
    <row r="111" spans="3:4" x14ac:dyDescent="0.25">
      <c r="C111">
        <f t="shared" si="7"/>
        <v>6784</v>
      </c>
      <c r="D111" t="str">
        <f t="shared" si="6"/>
        <v>0x00001A80</v>
      </c>
    </row>
    <row r="112" spans="3:4" x14ac:dyDescent="0.25">
      <c r="C112">
        <f t="shared" si="7"/>
        <v>6848</v>
      </c>
      <c r="D112" t="str">
        <f t="shared" si="6"/>
        <v>0x00001AC0</v>
      </c>
    </row>
    <row r="113" spans="3:4" x14ac:dyDescent="0.25">
      <c r="C113">
        <f t="shared" si="7"/>
        <v>6912</v>
      </c>
      <c r="D113" t="str">
        <f t="shared" si="6"/>
        <v>0x00001B00</v>
      </c>
    </row>
    <row r="114" spans="3:4" x14ac:dyDescent="0.25">
      <c r="C114">
        <f t="shared" si="7"/>
        <v>6976</v>
      </c>
      <c r="D114" t="str">
        <f t="shared" si="6"/>
        <v>0x00001B40</v>
      </c>
    </row>
    <row r="115" spans="3:4" x14ac:dyDescent="0.25">
      <c r="C115">
        <f t="shared" si="7"/>
        <v>7040</v>
      </c>
      <c r="D115" t="str">
        <f t="shared" si="6"/>
        <v>0x00001B80</v>
      </c>
    </row>
    <row r="116" spans="3:4" x14ac:dyDescent="0.25">
      <c r="C116">
        <f t="shared" si="7"/>
        <v>7104</v>
      </c>
      <c r="D116" t="str">
        <f t="shared" si="6"/>
        <v>0x00001BC0</v>
      </c>
    </row>
    <row r="117" spans="3:4" x14ac:dyDescent="0.25">
      <c r="C117">
        <f t="shared" si="7"/>
        <v>7168</v>
      </c>
      <c r="D117" t="str">
        <f t="shared" si="6"/>
        <v>0x00001C00</v>
      </c>
    </row>
    <row r="118" spans="3:4" x14ac:dyDescent="0.25">
      <c r="C118">
        <f t="shared" si="7"/>
        <v>7232</v>
      </c>
      <c r="D118" t="str">
        <f t="shared" si="6"/>
        <v>0x00001C40</v>
      </c>
    </row>
    <row r="119" spans="3:4" x14ac:dyDescent="0.25">
      <c r="C119">
        <f t="shared" si="7"/>
        <v>7296</v>
      </c>
      <c r="D119" t="str">
        <f t="shared" si="6"/>
        <v>0x00001C80</v>
      </c>
    </row>
    <row r="120" spans="3:4" x14ac:dyDescent="0.25">
      <c r="C120">
        <f t="shared" si="7"/>
        <v>7360</v>
      </c>
      <c r="D120" t="str">
        <f t="shared" si="6"/>
        <v>0x00001CC0</v>
      </c>
    </row>
    <row r="121" spans="3:4" x14ac:dyDescent="0.25">
      <c r="C121">
        <f t="shared" si="7"/>
        <v>7424</v>
      </c>
      <c r="D121" t="str">
        <f t="shared" si="6"/>
        <v>0x00001D00</v>
      </c>
    </row>
    <row r="122" spans="3:4" x14ac:dyDescent="0.25">
      <c r="C122">
        <f t="shared" si="7"/>
        <v>7488</v>
      </c>
      <c r="D122" t="str">
        <f t="shared" si="6"/>
        <v>0x00001D40</v>
      </c>
    </row>
    <row r="123" spans="3:4" x14ac:dyDescent="0.25">
      <c r="C123">
        <f t="shared" si="7"/>
        <v>7552</v>
      </c>
      <c r="D123" t="str">
        <f t="shared" si="6"/>
        <v>0x00001D80</v>
      </c>
    </row>
    <row r="124" spans="3:4" x14ac:dyDescent="0.25">
      <c r="C124">
        <f t="shared" si="7"/>
        <v>7616</v>
      </c>
      <c r="D124" t="str">
        <f t="shared" si="6"/>
        <v>0x00001DC0</v>
      </c>
    </row>
    <row r="125" spans="3:4" x14ac:dyDescent="0.25">
      <c r="C125">
        <f t="shared" si="7"/>
        <v>7680</v>
      </c>
      <c r="D125" t="str">
        <f t="shared" si="6"/>
        <v>0x00001E00</v>
      </c>
    </row>
    <row r="126" spans="3:4" x14ac:dyDescent="0.25">
      <c r="C126">
        <f t="shared" si="7"/>
        <v>7744</v>
      </c>
      <c r="D126" t="str">
        <f t="shared" si="6"/>
        <v>0x00001E40</v>
      </c>
    </row>
    <row r="127" spans="3:4" x14ac:dyDescent="0.25">
      <c r="C127">
        <f t="shared" si="7"/>
        <v>7808</v>
      </c>
      <c r="D127" t="str">
        <f t="shared" si="6"/>
        <v>0x00001E80</v>
      </c>
    </row>
    <row r="128" spans="3:4" x14ac:dyDescent="0.25">
      <c r="C128">
        <f t="shared" si="7"/>
        <v>7872</v>
      </c>
      <c r="D128" t="str">
        <f t="shared" si="6"/>
        <v>0x00001EC0</v>
      </c>
    </row>
    <row r="129" spans="3:4" x14ac:dyDescent="0.25">
      <c r="C129">
        <f t="shared" si="7"/>
        <v>7936</v>
      </c>
      <c r="D129" t="str">
        <f t="shared" si="6"/>
        <v>0x00001F00</v>
      </c>
    </row>
    <row r="130" spans="3:4" x14ac:dyDescent="0.25">
      <c r="C130">
        <f t="shared" si="7"/>
        <v>8000</v>
      </c>
      <c r="D130" t="str">
        <f t="shared" si="6"/>
        <v>0x00001F40</v>
      </c>
    </row>
    <row r="131" spans="3:4" x14ac:dyDescent="0.25">
      <c r="C131">
        <f t="shared" si="7"/>
        <v>8064</v>
      </c>
      <c r="D131" t="str">
        <f t="shared" si="6"/>
        <v>0x00001F80</v>
      </c>
    </row>
    <row r="132" spans="3:4" x14ac:dyDescent="0.25">
      <c r="C132">
        <f t="shared" si="7"/>
        <v>8128</v>
      </c>
      <c r="D132" t="str">
        <f t="shared" si="6"/>
        <v>0x00001FC0</v>
      </c>
    </row>
    <row r="133" spans="3:4" x14ac:dyDescent="0.25">
      <c r="C133">
        <f t="shared" si="7"/>
        <v>8192</v>
      </c>
      <c r="D133" t="str">
        <f t="shared" si="6"/>
        <v>0x00002000</v>
      </c>
    </row>
    <row r="134" spans="3:4" x14ac:dyDescent="0.25">
      <c r="C134">
        <f t="shared" si="7"/>
        <v>8256</v>
      </c>
      <c r="D134" t="str">
        <f t="shared" si="6"/>
        <v>0x00002040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1E6EA-2DB9-4BF4-B5ED-2EA9E3A35C2F}">
  <dimension ref="A1:B11"/>
  <sheetViews>
    <sheetView workbookViewId="0">
      <selection activeCell="B3" sqref="B3"/>
    </sheetView>
  </sheetViews>
  <sheetFormatPr defaultRowHeight="15" x14ac:dyDescent="0.25"/>
  <sheetData>
    <row r="1" spans="1:2" x14ac:dyDescent="0.25">
      <c r="B1" t="s">
        <v>25</v>
      </c>
    </row>
    <row r="2" spans="1:2" x14ac:dyDescent="0.25">
      <c r="A2">
        <v>1</v>
      </c>
      <c r="B2" t="s">
        <v>26</v>
      </c>
    </row>
    <row r="3" spans="1:2" x14ac:dyDescent="0.25">
      <c r="A3">
        <v>2</v>
      </c>
    </row>
    <row r="4" spans="1:2" x14ac:dyDescent="0.25">
      <c r="A4">
        <v>3</v>
      </c>
    </row>
    <row r="5" spans="1:2" x14ac:dyDescent="0.25">
      <c r="A5">
        <v>4</v>
      </c>
    </row>
    <row r="6" spans="1:2" x14ac:dyDescent="0.25">
      <c r="A6">
        <v>5</v>
      </c>
    </row>
    <row r="7" spans="1:2" x14ac:dyDescent="0.25">
      <c r="A7">
        <v>6</v>
      </c>
    </row>
    <row r="8" spans="1:2" x14ac:dyDescent="0.25">
      <c r="A8">
        <v>7</v>
      </c>
    </row>
    <row r="9" spans="1:2" x14ac:dyDescent="0.25">
      <c r="A9">
        <v>8</v>
      </c>
    </row>
    <row r="10" spans="1:2" x14ac:dyDescent="0.25">
      <c r="A10">
        <v>9</v>
      </c>
    </row>
    <row r="11" spans="1:2" x14ac:dyDescent="0.25">
      <c r="A1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970AF-0373-4712-9F3B-6CF57294038B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Dale Drinkard</dc:creator>
  <cp:lastModifiedBy>Dale Drinkard</cp:lastModifiedBy>
  <dcterms:created xsi:type="dcterms:W3CDTF">2026-08-27T13:49:23Z</dcterms:created>
  <dcterms:modified xsi:type="dcterms:W3CDTF">2026-09-22T16:57:59Z</dcterms:modified>
</cp:coreProperties>
</file>