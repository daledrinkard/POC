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POC\RS_D620\documents\"/>
    </mc:Choice>
  </mc:AlternateContent>
  <xr:revisionPtr revIDLastSave="0" documentId="13_ncr:1_{688CB31C-557B-413D-8A4E-669739910684}" xr6:coauthVersionLast="47" xr6:coauthVersionMax="47" xr10:uidLastSave="{00000000-0000-0000-0000-000000000000}"/>
  <bookViews>
    <workbookView xWindow="-120" yWindow="-120" windowWidth="38640" windowHeight="21120" activeTab="1" xr2:uid="{77793D01-6217-42E2-9AFC-8B7FA38831D5}"/>
  </bookViews>
  <sheets>
    <sheet name="TI cross pinning" sheetId="1" r:id="rId1"/>
    <sheet name="Pinning" sheetId="5" r:id="rId2"/>
    <sheet name="Sheet2" sheetId="2" r:id="rId3"/>
    <sheet name="Sheet3" sheetId="3" r:id="rId4"/>
    <sheet name="Sheet4" sheetId="4" r:id="rId5"/>
  </sheets>
  <definedNames>
    <definedName name="_xlnm._FilterDatabase" localSheetId="1" hidden="1">Pinning!$A$1:$AX$1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0" i="5" l="1"/>
  <c r="A119" i="5"/>
  <c r="A90" i="5"/>
  <c r="A89" i="5"/>
  <c r="A88" i="5"/>
  <c r="A87" i="5"/>
  <c r="A86" i="5"/>
  <c r="A85" i="5"/>
  <c r="A84" i="5"/>
  <c r="A83" i="5"/>
  <c r="A82" i="5"/>
  <c r="A41" i="5"/>
  <c r="A40" i="5"/>
  <c r="A38" i="5"/>
  <c r="A37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C23" i="4"/>
  <c r="E21" i="4"/>
  <c r="E20" i="4"/>
  <c r="E19" i="4"/>
  <c r="E18" i="4"/>
  <c r="E17" i="4"/>
  <c r="E16" i="4"/>
  <c r="E15" i="4"/>
  <c r="E14" i="4"/>
  <c r="E13" i="4"/>
  <c r="F13" i="4"/>
  <c r="F14" i="4" s="1"/>
  <c r="F15" i="4" s="1"/>
  <c r="F16" i="4" s="1"/>
  <c r="F17" i="4" s="1"/>
  <c r="F18" i="4" s="1"/>
  <c r="F19" i="4" s="1"/>
  <c r="F20" i="4" s="1"/>
  <c r="F21" i="4" s="1"/>
  <c r="F12" i="4"/>
  <c r="F11" i="4"/>
  <c r="C3" i="4"/>
  <c r="C8" i="2"/>
  <c r="C9" i="2" s="1"/>
  <c r="C31" i="1"/>
  <c r="C32" i="1" s="1"/>
  <c r="C33" i="1" s="1"/>
  <c r="C34" i="1" s="1"/>
  <c r="C35" i="1" s="1"/>
  <c r="C36" i="1" s="1"/>
  <c r="C46" i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J19" i="2"/>
  <c r="J18" i="2"/>
  <c r="J17" i="2"/>
  <c r="J16" i="2"/>
  <c r="J15" i="2"/>
  <c r="J14" i="2"/>
  <c r="J13" i="2"/>
  <c r="J12" i="2"/>
  <c r="J11" i="2"/>
  <c r="J10" i="2"/>
  <c r="J9" i="2"/>
  <c r="J7" i="2"/>
  <c r="J6" i="2"/>
  <c r="J5" i="2"/>
  <c r="C6" i="2"/>
  <c r="C7" i="2" s="1"/>
  <c r="D5" i="2"/>
  <c r="E9" i="2"/>
  <c r="B10" i="2"/>
  <c r="E10" i="2" s="1"/>
  <c r="C10" i="2" l="1"/>
  <c r="C11" i="2" s="1"/>
  <c r="D7" i="2"/>
  <c r="D6" i="2"/>
  <c r="B11" i="2"/>
  <c r="D10" i="2" l="1"/>
  <c r="D9" i="2"/>
  <c r="B12" i="2"/>
  <c r="E11" i="2"/>
  <c r="C12" i="2"/>
  <c r="D11" i="2"/>
  <c r="C13" i="2" l="1"/>
  <c r="D12" i="2"/>
  <c r="B13" i="2"/>
  <c r="E12" i="2"/>
  <c r="B14" i="2" l="1"/>
  <c r="E13" i="2"/>
  <c r="C14" i="2"/>
  <c r="D13" i="2"/>
  <c r="C15" i="2" l="1"/>
  <c r="D14" i="2"/>
  <c r="B15" i="2"/>
  <c r="E14" i="2"/>
  <c r="B16" i="2" l="1"/>
  <c r="E15" i="2"/>
  <c r="C16" i="2"/>
  <c r="D15" i="2"/>
  <c r="C17" i="2" l="1"/>
  <c r="D16" i="2"/>
  <c r="B17" i="2"/>
  <c r="E16" i="2"/>
  <c r="B18" i="2" l="1"/>
  <c r="E17" i="2"/>
  <c r="C18" i="2"/>
  <c r="D17" i="2"/>
  <c r="C19" i="2" l="1"/>
  <c r="D18" i="2"/>
  <c r="B19" i="2"/>
  <c r="E18" i="2"/>
  <c r="B20" i="2" l="1"/>
  <c r="E19" i="2"/>
  <c r="C20" i="2"/>
  <c r="D19" i="2"/>
  <c r="B21" i="2" l="1"/>
  <c r="E20" i="2"/>
  <c r="C21" i="2"/>
  <c r="D20" i="2"/>
  <c r="C22" i="2" l="1"/>
  <c r="D21" i="2"/>
  <c r="B22" i="2"/>
  <c r="E21" i="2"/>
  <c r="B23" i="2" l="1"/>
  <c r="E22" i="2"/>
  <c r="C23" i="2"/>
  <c r="D22" i="2"/>
  <c r="C24" i="2" l="1"/>
  <c r="D23" i="2"/>
  <c r="B24" i="2"/>
  <c r="E23" i="2"/>
  <c r="B25" i="2" l="1"/>
  <c r="E24" i="2"/>
  <c r="C25" i="2"/>
  <c r="D24" i="2"/>
  <c r="C26" i="2" l="1"/>
  <c r="D25" i="2"/>
  <c r="B26" i="2"/>
  <c r="E25" i="2"/>
  <c r="B27" i="2" l="1"/>
  <c r="E26" i="2"/>
  <c r="C27" i="2"/>
  <c r="D26" i="2"/>
  <c r="C28" i="2" l="1"/>
  <c r="D27" i="2"/>
  <c r="B28" i="2"/>
  <c r="E27" i="2"/>
  <c r="B29" i="2" l="1"/>
  <c r="E28" i="2"/>
  <c r="C29" i="2"/>
  <c r="D28" i="2"/>
  <c r="C30" i="2" l="1"/>
  <c r="D29" i="2"/>
  <c r="B30" i="2"/>
  <c r="E29" i="2"/>
  <c r="B31" i="2" l="1"/>
  <c r="E30" i="2"/>
  <c r="C31" i="2"/>
  <c r="D30" i="2"/>
  <c r="C32" i="2" l="1"/>
  <c r="D31" i="2"/>
  <c r="B32" i="2"/>
  <c r="E31" i="2"/>
  <c r="B33" i="2" l="1"/>
  <c r="E32" i="2"/>
  <c r="C33" i="2"/>
  <c r="D32" i="2"/>
  <c r="C34" i="2" l="1"/>
  <c r="D33" i="2"/>
  <c r="B34" i="2"/>
  <c r="E33" i="2"/>
  <c r="B35" i="2" l="1"/>
  <c r="E34" i="2"/>
  <c r="C35" i="2"/>
  <c r="D34" i="2"/>
  <c r="C36" i="2" l="1"/>
  <c r="D35" i="2"/>
  <c r="B36" i="2"/>
  <c r="E35" i="2"/>
  <c r="B37" i="2" l="1"/>
  <c r="E36" i="2"/>
  <c r="C37" i="2"/>
  <c r="D36" i="2"/>
  <c r="C38" i="2" l="1"/>
  <c r="D37" i="2"/>
  <c r="B38" i="2"/>
  <c r="E37" i="2"/>
  <c r="B39" i="2" l="1"/>
  <c r="E38" i="2"/>
  <c r="C39" i="2"/>
  <c r="D38" i="2"/>
  <c r="C40" i="2" l="1"/>
  <c r="D39" i="2"/>
  <c r="B40" i="2"/>
  <c r="E40" i="2" s="1"/>
  <c r="E39" i="2"/>
  <c r="D40" i="2" l="1"/>
  <c r="C41" i="2"/>
  <c r="C42" i="2" l="1"/>
  <c r="D41" i="2"/>
  <c r="C43" i="2" l="1"/>
  <c r="D42" i="2"/>
  <c r="D43" i="2" l="1"/>
  <c r="C44" i="2"/>
  <c r="D44" i="2" l="1"/>
  <c r="C45" i="2"/>
  <c r="D45" i="2" l="1"/>
  <c r="C46" i="2"/>
  <c r="D46" i="2" l="1"/>
  <c r="C47" i="2"/>
  <c r="C48" i="2" l="1"/>
  <c r="D47" i="2"/>
  <c r="C49" i="2" l="1"/>
  <c r="D48" i="2"/>
  <c r="D49" i="2" l="1"/>
  <c r="C50" i="2"/>
  <c r="D50" i="2" l="1"/>
  <c r="C51" i="2"/>
  <c r="D51" i="2" l="1"/>
  <c r="C52" i="2"/>
  <c r="C53" i="2" l="1"/>
  <c r="D52" i="2"/>
  <c r="D53" i="2" l="1"/>
  <c r="C54" i="2"/>
  <c r="D54" i="2" l="1"/>
  <c r="C55" i="2"/>
  <c r="C56" i="2" l="1"/>
  <c r="D55" i="2"/>
  <c r="D56" i="2" l="1"/>
  <c r="C57" i="2"/>
  <c r="C58" i="2" l="1"/>
  <c r="D57" i="2"/>
  <c r="C59" i="2" l="1"/>
  <c r="D58" i="2"/>
  <c r="D59" i="2" l="1"/>
  <c r="C60" i="2"/>
  <c r="C61" i="2" l="1"/>
  <c r="D60" i="2"/>
  <c r="C62" i="2" l="1"/>
  <c r="D61" i="2"/>
  <c r="D62" i="2" l="1"/>
  <c r="C63" i="2"/>
  <c r="D63" i="2" l="1"/>
  <c r="C64" i="2"/>
  <c r="C65" i="2" l="1"/>
  <c r="D64" i="2"/>
  <c r="C66" i="2" l="1"/>
  <c r="D65" i="2"/>
  <c r="D66" i="2" l="1"/>
  <c r="C67" i="2"/>
  <c r="C68" i="2" l="1"/>
  <c r="D67" i="2"/>
  <c r="C69" i="2" l="1"/>
  <c r="D68" i="2"/>
  <c r="C70" i="2" l="1"/>
  <c r="D69" i="2"/>
  <c r="D70" i="2" l="1"/>
  <c r="C71" i="2"/>
  <c r="C72" i="2" l="1"/>
  <c r="D71" i="2"/>
  <c r="C73" i="2" l="1"/>
  <c r="D72" i="2"/>
  <c r="C74" i="2" l="1"/>
  <c r="D73" i="2"/>
  <c r="C75" i="2" l="1"/>
  <c r="D74" i="2"/>
  <c r="C76" i="2" l="1"/>
  <c r="D75" i="2"/>
  <c r="C77" i="2" l="1"/>
  <c r="D76" i="2"/>
  <c r="C78" i="2" l="1"/>
  <c r="D77" i="2"/>
  <c r="C79" i="2" l="1"/>
  <c r="D78" i="2"/>
  <c r="D79" i="2" l="1"/>
  <c r="C80" i="2"/>
  <c r="D80" i="2" l="1"/>
  <c r="C81" i="2"/>
  <c r="C82" i="2" l="1"/>
  <c r="D81" i="2"/>
  <c r="D82" i="2" l="1"/>
  <c r="C83" i="2"/>
  <c r="C84" i="2" l="1"/>
  <c r="D83" i="2"/>
  <c r="C85" i="2" l="1"/>
  <c r="D84" i="2"/>
  <c r="D85" i="2" l="1"/>
  <c r="C86" i="2"/>
  <c r="C87" i="2" l="1"/>
  <c r="D86" i="2"/>
  <c r="C88" i="2" l="1"/>
  <c r="D87" i="2"/>
  <c r="D88" i="2" l="1"/>
  <c r="C89" i="2"/>
  <c r="C90" i="2" l="1"/>
  <c r="D89" i="2"/>
  <c r="D90" i="2" l="1"/>
  <c r="C91" i="2"/>
  <c r="C92" i="2" l="1"/>
  <c r="D91" i="2"/>
  <c r="C93" i="2" l="1"/>
  <c r="D92" i="2"/>
  <c r="D93" i="2" l="1"/>
  <c r="C94" i="2"/>
  <c r="D94" i="2" l="1"/>
  <c r="C95" i="2"/>
  <c r="C96" i="2" l="1"/>
  <c r="D95" i="2"/>
  <c r="C97" i="2" l="1"/>
  <c r="D96" i="2"/>
  <c r="C98" i="2" l="1"/>
  <c r="D97" i="2"/>
  <c r="D98" i="2" l="1"/>
  <c r="C99" i="2"/>
  <c r="C100" i="2" l="1"/>
  <c r="D99" i="2"/>
  <c r="D100" i="2" l="1"/>
  <c r="C101" i="2"/>
  <c r="C102" i="2" l="1"/>
  <c r="D101" i="2"/>
  <c r="D102" i="2" l="1"/>
  <c r="C103" i="2"/>
  <c r="C104" i="2" l="1"/>
  <c r="D103" i="2"/>
  <c r="C105" i="2" l="1"/>
  <c r="D104" i="2"/>
  <c r="C106" i="2" l="1"/>
  <c r="D105" i="2"/>
  <c r="C107" i="2" l="1"/>
  <c r="D106" i="2"/>
  <c r="C108" i="2" l="1"/>
  <c r="D107" i="2"/>
  <c r="C109" i="2" l="1"/>
  <c r="D108" i="2"/>
  <c r="C110" i="2" l="1"/>
  <c r="D109" i="2"/>
  <c r="D110" i="2" l="1"/>
  <c r="C111" i="2"/>
  <c r="C112" i="2" l="1"/>
  <c r="D111" i="2"/>
  <c r="D112" i="2" l="1"/>
  <c r="C113" i="2"/>
  <c r="C114" i="2" l="1"/>
  <c r="D113" i="2"/>
  <c r="C115" i="2" l="1"/>
  <c r="D114" i="2"/>
  <c r="C116" i="2" l="1"/>
  <c r="D115" i="2"/>
  <c r="D116" i="2" l="1"/>
  <c r="C117" i="2"/>
  <c r="C118" i="2" l="1"/>
  <c r="D117" i="2"/>
  <c r="C119" i="2" l="1"/>
  <c r="D118" i="2"/>
  <c r="C120" i="2" l="1"/>
  <c r="D119" i="2"/>
  <c r="C121" i="2" l="1"/>
  <c r="D120" i="2"/>
  <c r="C122" i="2" l="1"/>
  <c r="D121" i="2"/>
  <c r="C123" i="2" l="1"/>
  <c r="D122" i="2"/>
  <c r="C124" i="2" l="1"/>
  <c r="D123" i="2"/>
  <c r="C125" i="2" l="1"/>
  <c r="D124" i="2"/>
  <c r="D125" i="2" l="1"/>
  <c r="C126" i="2"/>
  <c r="C127" i="2" l="1"/>
  <c r="D126" i="2"/>
  <c r="C128" i="2" l="1"/>
  <c r="D127" i="2"/>
  <c r="D128" i="2" l="1"/>
  <c r="C129" i="2"/>
  <c r="C130" i="2" l="1"/>
  <c r="D129" i="2"/>
  <c r="D130" i="2" l="1"/>
  <c r="C131" i="2"/>
  <c r="C132" i="2" l="1"/>
  <c r="D131" i="2"/>
  <c r="C133" i="2" l="1"/>
  <c r="D132" i="2"/>
  <c r="C134" i="2" l="1"/>
  <c r="D133" i="2"/>
  <c r="C135" i="2" l="1"/>
  <c r="D135" i="2" s="1"/>
  <c r="D134" i="2"/>
</calcChain>
</file>

<file path=xl/sharedStrings.xml><?xml version="1.0" encoding="utf-8"?>
<sst xmlns="http://schemas.openxmlformats.org/spreadsheetml/2006/main" count="2115" uniqueCount="995">
  <si>
    <t>MON1</t>
  </si>
  <si>
    <t>MON2</t>
  </si>
  <si>
    <t>MON3</t>
  </si>
  <si>
    <t>MON4</t>
  </si>
  <si>
    <t>MON5</t>
  </si>
  <si>
    <t>MON6</t>
  </si>
  <si>
    <t>MON7</t>
  </si>
  <si>
    <t>MON8</t>
  </si>
  <si>
    <t>MON9</t>
  </si>
  <si>
    <t>DMON1</t>
  </si>
  <si>
    <t>…</t>
  </si>
  <si>
    <t>MON24</t>
  </si>
  <si>
    <t>EN1</t>
  </si>
  <si>
    <t>MAR1'</t>
  </si>
  <si>
    <t>MAR16'</t>
  </si>
  <si>
    <t>PMBUS_CLK</t>
  </si>
  <si>
    <t>PMBUS_DATA</t>
  </si>
  <si>
    <t>PMBUS_nALERT</t>
  </si>
  <si>
    <t>PMBUS_ADDR0</t>
  </si>
  <si>
    <t>PMBUS_ADDR1</t>
  </si>
  <si>
    <t>PMBUS_ADDR2</t>
  </si>
  <si>
    <t>EK-RA6M5</t>
  </si>
  <si>
    <t>controler config</t>
  </si>
  <si>
    <t>fault_mapping</t>
  </si>
  <si>
    <t>map addr</t>
  </si>
  <si>
    <t>flash</t>
  </si>
  <si>
    <t>*</t>
  </si>
  <si>
    <t>MON10</t>
  </si>
  <si>
    <t>MON11</t>
  </si>
  <si>
    <t>MON12</t>
  </si>
  <si>
    <t>MON13</t>
  </si>
  <si>
    <t>MON14</t>
  </si>
  <si>
    <t>MON15</t>
  </si>
  <si>
    <t>MON16</t>
  </si>
  <si>
    <t>MON17</t>
  </si>
  <si>
    <t>MON18</t>
  </si>
  <si>
    <t>MON19</t>
  </si>
  <si>
    <t>MON20</t>
  </si>
  <si>
    <t>MON21</t>
  </si>
  <si>
    <t>MON22</t>
  </si>
  <si>
    <t>MON23</t>
  </si>
  <si>
    <t>analog only</t>
  </si>
  <si>
    <t>P000</t>
  </si>
  <si>
    <t>P001</t>
  </si>
  <si>
    <t>P002</t>
  </si>
  <si>
    <t>P003</t>
  </si>
  <si>
    <t>P004</t>
  </si>
  <si>
    <t>SW2</t>
  </si>
  <si>
    <t>SW1</t>
  </si>
  <si>
    <t>P005</t>
  </si>
  <si>
    <t>P006</t>
  </si>
  <si>
    <t>P007</t>
  </si>
  <si>
    <t>P008</t>
  </si>
  <si>
    <t>P009</t>
  </si>
  <si>
    <t>P010</t>
  </si>
  <si>
    <t>AN003</t>
  </si>
  <si>
    <t>AN000/AN100</t>
  </si>
  <si>
    <t>AN001/AN101</t>
  </si>
  <si>
    <t>AN002/AN102</t>
  </si>
  <si>
    <t>AN004</t>
  </si>
  <si>
    <t>AN005</t>
  </si>
  <si>
    <t>AN006</t>
  </si>
  <si>
    <t>AN007</t>
  </si>
  <si>
    <t>AN008</t>
  </si>
  <si>
    <t>AN009</t>
  </si>
  <si>
    <t>AN010</t>
  </si>
  <si>
    <t>P014</t>
  </si>
  <si>
    <t>AN012</t>
  </si>
  <si>
    <t>P015</t>
  </si>
  <si>
    <t>AN013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</si>
  <si>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</si>
  <si>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</si>
  <si>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</si>
  <si>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</si>
  <si>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</si>
  <si>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</si>
  <si>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</si>
  <si>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</si>
  <si>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</si>
  <si>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P800</t>
  </si>
  <si>
    <t>P801</t>
  </si>
  <si>
    <t>P802</t>
  </si>
  <si>
    <t>AN116</t>
  </si>
  <si>
    <t>AN117</t>
  </si>
  <si>
    <t>AN118</t>
  </si>
  <si>
    <t>AN119</t>
  </si>
  <si>
    <t>AN120</t>
  </si>
  <si>
    <t>AN121</t>
  </si>
  <si>
    <t>AN122</t>
  </si>
  <si>
    <t>AN123</t>
  </si>
  <si>
    <t>AN124</t>
  </si>
  <si>
    <t>AN125</t>
  </si>
  <si>
    <t>AN126</t>
  </si>
  <si>
    <t>P803</t>
  </si>
  <si>
    <t>AN127</t>
  </si>
  <si>
    <t>AN128</t>
  </si>
  <si>
    <t>USB</t>
  </si>
  <si>
    <t>1k5 pullup</t>
  </si>
  <si>
    <t>1k5 pulluo</t>
  </si>
  <si>
    <t>P105</t>
  </si>
  <si>
    <t>P206</t>
  </si>
  <si>
    <t>P400</t>
  </si>
  <si>
    <t>P806</t>
  </si>
  <si>
    <t>IRQ0</t>
  </si>
  <si>
    <t>IRQ1</t>
  </si>
  <si>
    <t>P101</t>
  </si>
  <si>
    <t>P104</t>
  </si>
  <si>
    <t>P205</t>
  </si>
  <si>
    <t>P804</t>
  </si>
  <si>
    <t>IRQ2</t>
  </si>
  <si>
    <t>P100</t>
  </si>
  <si>
    <t>P203</t>
  </si>
  <si>
    <t>P213</t>
  </si>
  <si>
    <t>P110</t>
  </si>
  <si>
    <t>P202</t>
  </si>
  <si>
    <t>P212</t>
  </si>
  <si>
    <t>P111</t>
  </si>
  <si>
    <t>IRQ3</t>
  </si>
  <si>
    <t>IRQ4</t>
  </si>
  <si>
    <t>P402</t>
  </si>
  <si>
    <t>P411</t>
  </si>
  <si>
    <t>PA10</t>
  </si>
  <si>
    <t>IRQ5</t>
  </si>
  <si>
    <t>P302</t>
  </si>
  <si>
    <t>P401</t>
  </si>
  <si>
    <t>P410</t>
  </si>
  <si>
    <t>PA09</t>
  </si>
  <si>
    <t>IRQ6</t>
  </si>
  <si>
    <t>P301</t>
  </si>
  <si>
    <t>P409</t>
  </si>
  <si>
    <t>P409 (2)</t>
  </si>
  <si>
    <t>PA08</t>
  </si>
  <si>
    <t>IRQ7</t>
  </si>
  <si>
    <t>P408</t>
  </si>
  <si>
    <t>P615</t>
  </si>
  <si>
    <t>P706</t>
  </si>
  <si>
    <t>IRQ8</t>
  </si>
  <si>
    <t>P305 (6)</t>
  </si>
  <si>
    <t>P415 (7)</t>
  </si>
  <si>
    <t>&lt;-- 1k5 pu</t>
  </si>
  <si>
    <t>P707</t>
  </si>
  <si>
    <t>force low</t>
  </si>
  <si>
    <t>P905</t>
  </si>
  <si>
    <t>IRQ9</t>
  </si>
  <si>
    <t>P304</t>
  </si>
  <si>
    <t>P414</t>
  </si>
  <si>
    <t>IRQ10</t>
  </si>
  <si>
    <t>IRQ11</t>
  </si>
  <si>
    <t>IRQ14</t>
  </si>
  <si>
    <t>IRQ15</t>
  </si>
  <si>
    <t>P906</t>
  </si>
  <si>
    <t>P907</t>
  </si>
  <si>
    <t>A</t>
  </si>
  <si>
    <t>P908</t>
  </si>
  <si>
    <t>P708</t>
  </si>
  <si>
    <t>P403</t>
  </si>
  <si>
    <t>P512</t>
  </si>
  <si>
    <t>SCL</t>
  </si>
  <si>
    <t>P404</t>
  </si>
  <si>
    <t>P511</t>
  </si>
  <si>
    <t>SDA</t>
  </si>
  <si>
    <t>Interrupt table pin map</t>
  </si>
  <si>
    <t>BLUE LED (B)</t>
  </si>
  <si>
    <t>GREEN LED (G)</t>
  </si>
  <si>
    <t>RED LED ®</t>
  </si>
  <si>
    <t>D620</t>
  </si>
  <si>
    <t>FUNCTION</t>
  </si>
  <si>
    <t>comment</t>
  </si>
  <si>
    <t>Name</t>
  </si>
  <si>
    <t>I</t>
  </si>
  <si>
    <t>O</t>
  </si>
  <si>
    <t>R</t>
  </si>
  <si>
    <t>F</t>
  </si>
  <si>
    <t>P</t>
  </si>
  <si>
    <t>Pin</t>
  </si>
  <si>
    <t>Function</t>
  </si>
  <si>
    <t>Power, Clock, Debug, System</t>
  </si>
  <si>
    <t>ICU</t>
  </si>
  <si>
    <t>SSI_COMMON</t>
  </si>
  <si>
    <t>IIC</t>
  </si>
  <si>
    <t>AGT</t>
  </si>
  <si>
    <t>ETHERC_RMII</t>
  </si>
  <si>
    <t>SCI</t>
  </si>
  <si>
    <t>GPT</t>
  </si>
  <si>
    <t>ADC</t>
  </si>
  <si>
    <t>CANFD</t>
  </si>
  <si>
    <t>GPT_POEG</t>
  </si>
  <si>
    <t>RTC</t>
  </si>
  <si>
    <t>CAC</t>
  </si>
  <si>
    <t>SSI</t>
  </si>
  <si>
    <t>SPI</t>
  </si>
  <si>
    <t>USB_HS</t>
  </si>
  <si>
    <t>CEC</t>
  </si>
  <si>
    <t>CTSU</t>
  </si>
  <si>
    <t>USB_FS</t>
  </si>
  <si>
    <t>SDHI</t>
  </si>
  <si>
    <t>GPT_OPS</t>
  </si>
  <si>
    <t>QSPI</t>
  </si>
  <si>
    <t>BUS_ASYNCH</t>
  </si>
  <si>
    <t>OSPI</t>
  </si>
  <si>
    <t>DAC</t>
  </si>
  <si>
    <t>Symbolic Name</t>
  </si>
  <si>
    <t>IRQ</t>
  </si>
  <si>
    <t>Mode</t>
  </si>
  <si>
    <t>Port Capabilities</t>
  </si>
  <si>
    <t>Pin Function Comment</t>
  </si>
  <si>
    <t>Direction</t>
  </si>
  <si>
    <t>Remarks</t>
  </si>
  <si>
    <t>Pin Number Comment</t>
  </si>
  <si>
    <t>Pull up</t>
  </si>
  <si>
    <t>Output type</t>
  </si>
  <si>
    <t>Drive Capacity</t>
  </si>
  <si>
    <t>AVCC0</t>
  </si>
  <si>
    <t>ANALOG0_AVCC0</t>
  </si>
  <si>
    <t>IO</t>
  </si>
  <si>
    <t>Read only</t>
  </si>
  <si>
    <t>AVCCUSBHS</t>
  </si>
  <si>
    <t>USB_HS0_AVCC_USBHS</t>
  </si>
  <si>
    <t>AVCC_USBHS</t>
  </si>
  <si>
    <t>AVSS0</t>
  </si>
  <si>
    <t>ANALOG0_AVSS0</t>
  </si>
  <si>
    <t>AVSSUSBHS</t>
  </si>
  <si>
    <t>USB_HS0_AVSS_USBHS</t>
  </si>
  <si>
    <t>AVSS_USBHS</t>
  </si>
  <si>
    <t>ADC0_AN000</t>
  </si>
  <si>
    <t>IRQ06</t>
  </si>
  <si>
    <t>MIKROBUS_AN_ARDUINO_A0</t>
  </si>
  <si>
    <t>Analog mode</t>
  </si>
  <si>
    <t>ADC0: AN000</t>
  </si>
  <si>
    <t>ADC0_AN001</t>
  </si>
  <si>
    <t>IRQ07</t>
  </si>
  <si>
    <t>ARDUINO_A1</t>
  </si>
  <si>
    <t>ADC0: AN001</t>
  </si>
  <si>
    <t>ADC0_AN002</t>
  </si>
  <si>
    <t>IRQ08</t>
  </si>
  <si>
    <t>ARDUINO_A2</t>
  </si>
  <si>
    <t>ADC0: AN002</t>
  </si>
  <si>
    <t>ADC0_AN003</t>
  </si>
  <si>
    <t>ARDUINO_A3</t>
  </si>
  <si>
    <t>ADC0: AN003</t>
  </si>
  <si>
    <t>None</t>
  </si>
  <si>
    <t>M</t>
  </si>
  <si>
    <t>GPIO</t>
  </si>
  <si>
    <t>IRQ09</t>
  </si>
  <si>
    <t>Input mode</t>
  </si>
  <si>
    <t>ADC0: AN004</t>
  </si>
  <si>
    <t>ADC0: AN005</t>
  </si>
  <si>
    <t>LEDB</t>
  </si>
  <si>
    <t>POPB()</t>
  </si>
  <si>
    <t>LED1</t>
  </si>
  <si>
    <t>Output mode (Initial Low)</t>
  </si>
  <si>
    <t>ADC0: AN006</t>
  </si>
  <si>
    <t>LEDG</t>
  </si>
  <si>
    <t>POPG()</t>
  </si>
  <si>
    <t>LED2</t>
  </si>
  <si>
    <t>ADC0: AN007</t>
  </si>
  <si>
    <t>CMOS</t>
  </si>
  <si>
    <t>LEDR</t>
  </si>
  <si>
    <t>POPR()</t>
  </si>
  <si>
    <t>IRQ12</t>
  </si>
  <si>
    <t>LED3</t>
  </si>
  <si>
    <t>ADC0: AN008</t>
  </si>
  <si>
    <t>IRQ13</t>
  </si>
  <si>
    <t>Disabled</t>
  </si>
  <si>
    <t>ADC0: AN009</t>
  </si>
  <si>
    <t>ADC0: AN010</t>
  </si>
  <si>
    <t>ADC0_AN012</t>
  </si>
  <si>
    <t>DA0</t>
  </si>
  <si>
    <t>ARDUINO_A4</t>
  </si>
  <si>
    <t>ADC0: AN012</t>
  </si>
  <si>
    <t>ADC0_AN013</t>
  </si>
  <si>
    <t>DA1</t>
  </si>
  <si>
    <t>ARDUINO_A5</t>
  </si>
  <si>
    <t>ADC0: AN013</t>
  </si>
  <si>
    <t>PU 10k  (ospi)</t>
  </si>
  <si>
    <t>OSPI0_OMSIO5</t>
  </si>
  <si>
    <t>IRQ00</t>
  </si>
  <si>
    <t>AGTO2</t>
  </si>
  <si>
    <t>TXD8/SDA8</t>
  </si>
  <si>
    <t>GTIOC1A</t>
  </si>
  <si>
    <t>GTETRGA</t>
  </si>
  <si>
    <t>SSLB2</t>
  </si>
  <si>
    <t>D05</t>
  </si>
  <si>
    <t>OMSIO5</t>
  </si>
  <si>
    <t>OSPI_SIO5</t>
  </si>
  <si>
    <t>Peripheral mode</t>
  </si>
  <si>
    <t>AGT2: AGTO2</t>
  </si>
  <si>
    <t>SPI0_SSLA1</t>
  </si>
  <si>
    <t>SDA1</t>
  </si>
  <si>
    <t>ET0_LINKSTA</t>
  </si>
  <si>
    <t>RXD4/SCL4/CTS9</t>
  </si>
  <si>
    <t>SSIDATA0</t>
  </si>
  <si>
    <t>SSLA1</t>
  </si>
  <si>
    <t>CECIO</t>
  </si>
  <si>
    <t>TS02</t>
  </si>
  <si>
    <t>USB_VBUSEN</t>
  </si>
  <si>
    <t>SD0DAT2</t>
  </si>
  <si>
    <t>GTIU</t>
  </si>
  <si>
    <t>WAIT</t>
  </si>
  <si>
    <t>PMOD1_SS</t>
  </si>
  <si>
    <t>BUS_ASYNCH0: WAIT</t>
  </si>
  <si>
    <t>P102</t>
  </si>
  <si>
    <t>T</t>
  </si>
  <si>
    <t>OSPI0_OMSIO1</t>
  </si>
  <si>
    <t>AGTO0</t>
  </si>
  <si>
    <t>SCK0</t>
  </si>
  <si>
    <t>GTIOC2B</t>
  </si>
  <si>
    <t>ADTRG0</t>
  </si>
  <si>
    <t>CRX0</t>
  </si>
  <si>
    <t>RSPCKB</t>
  </si>
  <si>
    <t>GTOWLO</t>
  </si>
  <si>
    <t>QIO0</t>
  </si>
  <si>
    <t>D02</t>
  </si>
  <si>
    <t>OMSIO1</t>
  </si>
  <si>
    <t>OSPI_SIO1</t>
  </si>
  <si>
    <t>ADC0: ADTRG0</t>
  </si>
  <si>
    <t>P103</t>
  </si>
  <si>
    <t>OSPI0_OMSIO6</t>
  </si>
  <si>
    <t>AGTIO2</t>
  </si>
  <si>
    <t>CTSRTS0</t>
  </si>
  <si>
    <t>GTIOC2A</t>
  </si>
  <si>
    <t>CTX0</t>
  </si>
  <si>
    <t>SSLB0</t>
  </si>
  <si>
    <t>GTOWUP</t>
  </si>
  <si>
    <t>QIO3</t>
  </si>
  <si>
    <t>D03</t>
  </si>
  <si>
    <t>OMSIO6</t>
  </si>
  <si>
    <t>OSPI_SIO6</t>
  </si>
  <si>
    <t>AGT2: AGTIO2</t>
  </si>
  <si>
    <t>AUDIO_CLK</t>
  </si>
  <si>
    <t>SCL0</t>
  </si>
  <si>
    <t>AGTIO1</t>
  </si>
  <si>
    <t>ET0_WOL</t>
  </si>
  <si>
    <t>SCK4/SCK7</t>
  </si>
  <si>
    <t>GTIOC6A</t>
  </si>
  <si>
    <t>ADTRG1</t>
  </si>
  <si>
    <t>PMOD2_INT</t>
  </si>
  <si>
    <t>ADC1: ADTRG1</t>
  </si>
  <si>
    <t>ICU0: IRQ00</t>
  </si>
  <si>
    <t>P106</t>
  </si>
  <si>
    <t>OSPI0_OMSIO0</t>
  </si>
  <si>
    <t>AGTOB0</t>
  </si>
  <si>
    <t>SCK8</t>
  </si>
  <si>
    <t>GTIOC8B</t>
  </si>
  <si>
    <t>SSLB3</t>
  </si>
  <si>
    <t>D06</t>
  </si>
  <si>
    <t>OMSIO0</t>
  </si>
  <si>
    <t>OSPI_SIO0</t>
  </si>
  <si>
    <t>AGT0: AGTOB0</t>
  </si>
  <si>
    <t>P107</t>
  </si>
  <si>
    <t>OSPI0_OMSIO3</t>
  </si>
  <si>
    <t>AGTOA0</t>
  </si>
  <si>
    <t>CTSRTS8</t>
  </si>
  <si>
    <t>GTIOC8A</t>
  </si>
  <si>
    <t>D07</t>
  </si>
  <si>
    <t>OMSIO3</t>
  </si>
  <si>
    <t>OSPI_SIO3</t>
  </si>
  <si>
    <t>AGT0: AGTOA0</t>
  </si>
  <si>
    <t>X</t>
  </si>
  <si>
    <t>P108</t>
  </si>
  <si>
    <t>D</t>
  </si>
  <si>
    <t>DEBUG0_SWDIO</t>
  </si>
  <si>
    <t>SWDIO/TMS</t>
  </si>
  <si>
    <t>AGTOA3</t>
  </si>
  <si>
    <t>CTSRTS9</t>
  </si>
  <si>
    <t>GTIOC0B</t>
  </si>
  <si>
    <t>SSLA0</t>
  </si>
  <si>
    <t>GTOULO</t>
  </si>
  <si>
    <t>AGT3: AGTOA3</t>
  </si>
  <si>
    <t>P109</t>
  </si>
  <si>
    <t>TDO/TRACESWO/CLKOUT</t>
  </si>
  <si>
    <t>AGTOB3</t>
  </si>
  <si>
    <t>TXD9/SDA9</t>
  </si>
  <si>
    <t>CTX1</t>
  </si>
  <si>
    <t>MOSIA</t>
  </si>
  <si>
    <t>GTOVUP</t>
  </si>
  <si>
    <t>AGT3: AGTOB3</t>
  </si>
  <si>
    <t>OSPI0_OMSIO7</t>
  </si>
  <si>
    <t>IRQ01</t>
  </si>
  <si>
    <t>AGTEE0</t>
  </si>
  <si>
    <t>TXD0/SDA0/CTSRTS1</t>
  </si>
  <si>
    <t>GTIOC5A</t>
  </si>
  <si>
    <t>GTETRGB</t>
  </si>
  <si>
    <t>MOSIB</t>
  </si>
  <si>
    <t>QIO1</t>
  </si>
  <si>
    <t>D01</t>
  </si>
  <si>
    <t>OMSIO7</t>
  </si>
  <si>
    <t>OSPI_SIO7</t>
  </si>
  <si>
    <t>AGT0: AGTEE0</t>
  </si>
  <si>
    <t>POP3()</t>
  </si>
  <si>
    <t>OSPI0_OMDQS</t>
  </si>
  <si>
    <t>AGTEE2</t>
  </si>
  <si>
    <t>RXD8/SCL8</t>
  </si>
  <si>
    <t>GTIOC1B</t>
  </si>
  <si>
    <t>SSLB1</t>
  </si>
  <si>
    <t>QIO2</t>
  </si>
  <si>
    <t>D04</t>
  </si>
  <si>
    <t>OMDQS</t>
  </si>
  <si>
    <t>OSPI_DQS</t>
  </si>
  <si>
    <t>AGT2: AGTEE2</t>
  </si>
  <si>
    <t>POP1()</t>
  </si>
  <si>
    <t>P112</t>
  </si>
  <si>
    <t>AGTOB5</t>
  </si>
  <si>
    <t>SCK1/TXD2/SDA2</t>
  </si>
  <si>
    <t>GTIOC3B</t>
  </si>
  <si>
    <t>SSIBCK0</t>
  </si>
  <si>
    <t>QSSL</t>
  </si>
  <si>
    <t>A04</t>
  </si>
  <si>
    <t>OMCS1</t>
  </si>
  <si>
    <t>ARDUINO_D4</t>
  </si>
  <si>
    <t>AGT5: AGTOB5</t>
  </si>
  <si>
    <t>P113</t>
  </si>
  <si>
    <t>AGTEE5</t>
  </si>
  <si>
    <t>RXD2/SCL2</t>
  </si>
  <si>
    <t>SSILRCK0</t>
  </si>
  <si>
    <t>A03</t>
  </si>
  <si>
    <t>ARDUINO_D5</t>
  </si>
  <si>
    <t>AGT5: AGTEE5</t>
  </si>
  <si>
    <t>P114</t>
  </si>
  <si>
    <t>AGTIO5</t>
  </si>
  <si>
    <t>CTS9</t>
  </si>
  <si>
    <t>SSIRXD0</t>
  </si>
  <si>
    <t>A02</t>
  </si>
  <si>
    <t>ARDUINO_D6</t>
  </si>
  <si>
    <t>AGT5: AGTIO5</t>
  </si>
  <si>
    <t>P115</t>
  </si>
  <si>
    <t>GTIOC4A</t>
  </si>
  <si>
    <t>SSITXD0</t>
  </si>
  <si>
    <t>A01</t>
  </si>
  <si>
    <t>ARDUINO_D9</t>
  </si>
  <si>
    <t>BUS_ASYNCH0: A01</t>
  </si>
  <si>
    <t>SPI0_SSLA0</t>
  </si>
  <si>
    <t>CLKOUT</t>
  </si>
  <si>
    <t>SCL1</t>
  </si>
  <si>
    <t>AGTO1</t>
  </si>
  <si>
    <t>TXD4/SDA4/CTSRTS9</t>
  </si>
  <si>
    <t>TS01</t>
  </si>
  <si>
    <t>USB_OVRCURA</t>
  </si>
  <si>
    <t>SD0DAT3</t>
  </si>
  <si>
    <t>GTIV</t>
  </si>
  <si>
    <t>A16</t>
  </si>
  <si>
    <t>MIKROBUS_SS_ARDUINO_SS</t>
  </si>
  <si>
    <t>AGT1: AGTO1</t>
  </si>
  <si>
    <t>C</t>
  </si>
  <si>
    <t>P201</t>
  </si>
  <si>
    <t>MD</t>
  </si>
  <si>
    <t>SYSTEM0: MD</t>
  </si>
  <si>
    <t>ICU0: IRQ01</t>
  </si>
  <si>
    <t>OSPI0_OMSCLK</t>
  </si>
  <si>
    <t>IRQ02</t>
  </si>
  <si>
    <t>AGTIO0</t>
  </si>
  <si>
    <t>RXD0/SCL0/SCK1</t>
  </si>
  <si>
    <t>GTIOC5B</t>
  </si>
  <si>
    <t>MISOB</t>
  </si>
  <si>
    <t>QSPCLK</t>
  </si>
  <si>
    <t>D00</t>
  </si>
  <si>
    <t>OMSCLK</t>
  </si>
  <si>
    <t>OSPI_CLK</t>
  </si>
  <si>
    <t>AGT0: AGTIO0</t>
  </si>
  <si>
    <t>P204</t>
  </si>
  <si>
    <t>SPI0_RSPCKA</t>
  </si>
  <si>
    <t>SCK4/SCK9</t>
  </si>
  <si>
    <t>GTIOC4B</t>
  </si>
  <si>
    <t>CACREF</t>
  </si>
  <si>
    <t>RSPCKA</t>
  </si>
  <si>
    <t>TS00</t>
  </si>
  <si>
    <t>USB_OVRCURB</t>
  </si>
  <si>
    <t>SD0DAT4</t>
  </si>
  <si>
    <t>GTIW</t>
  </si>
  <si>
    <t>A18</t>
  </si>
  <si>
    <t>MIKROBUS_SCK_ARDUINO_SCK_PMOD1_SCK</t>
  </si>
  <si>
    <t>AGT1: AGTIO1</t>
  </si>
  <si>
    <t>SPI0_MOSIA</t>
  </si>
  <si>
    <t>CTSRTS2/TXD9/SDA9</t>
  </si>
  <si>
    <t>TS18</t>
  </si>
  <si>
    <t>SD0DAT5</t>
  </si>
  <si>
    <t>A19</t>
  </si>
  <si>
    <t>MIKROBUS_MOSI_ARDUINO_MOSI_PMOD1_MOSI</t>
  </si>
  <si>
    <t>CGC0_XTAL</t>
  </si>
  <si>
    <t>XTAL</t>
  </si>
  <si>
    <t>TXD1/SDA1</t>
  </si>
  <si>
    <t>GTIOC0A</t>
  </si>
  <si>
    <t>GTETRGC</t>
  </si>
  <si>
    <t>P207</t>
  </si>
  <si>
    <t>TXD4/SDA4</t>
  </si>
  <si>
    <t>SSLA2</t>
  </si>
  <si>
    <t>TSCAP</t>
  </si>
  <si>
    <t>A17</t>
  </si>
  <si>
    <t>ARDUINO_D8</t>
  </si>
  <si>
    <t>BUS_ASYNCH0: A17</t>
  </si>
  <si>
    <t>P208</t>
  </si>
  <si>
    <t>TDATA3</t>
  </si>
  <si>
    <t>SD0DAT0</t>
  </si>
  <si>
    <t>GTOVLO</t>
  </si>
  <si>
    <t>CS4</t>
  </si>
  <si>
    <t>BUS_ASYNCH0: CS4</t>
  </si>
  <si>
    <t>P209</t>
  </si>
  <si>
    <t>TDATA2</t>
  </si>
  <si>
    <t>ET0_EXOUT</t>
  </si>
  <si>
    <t>SD0WP</t>
  </si>
  <si>
    <t>CS5</t>
  </si>
  <si>
    <t>P210</t>
  </si>
  <si>
    <t>TDATA1</t>
  </si>
  <si>
    <t>SD0CD</t>
  </si>
  <si>
    <t>CS6</t>
  </si>
  <si>
    <t>P211</t>
  </si>
  <si>
    <t>TDATA0</t>
  </si>
  <si>
    <t>AGTOA5</t>
  </si>
  <si>
    <t>ET0_MDIO</t>
  </si>
  <si>
    <t>SD0CMD</t>
  </si>
  <si>
    <t>CS7</t>
  </si>
  <si>
    <t>AGT5: AGTOA5</t>
  </si>
  <si>
    <t>TDI</t>
  </si>
  <si>
    <t>IRQ03</t>
  </si>
  <si>
    <t>AGTEE3</t>
  </si>
  <si>
    <t>CTSRTS2/RXD9/SCL9</t>
  </si>
  <si>
    <t>CRX1</t>
  </si>
  <si>
    <t>MISOA</t>
  </si>
  <si>
    <t>AGT3: AGTEE3</t>
  </si>
  <si>
    <t>SPI0_MISOA</t>
  </si>
  <si>
    <t>SCK2/RXD9/SCL9</t>
  </si>
  <si>
    <t>TS19</t>
  </si>
  <si>
    <t>SD0DAT6</t>
  </si>
  <si>
    <t>BC1</t>
  </si>
  <si>
    <t>MIKROBUS_MISO_ARDUINO_MISO_PMOD1_MISO</t>
  </si>
  <si>
    <t>P214</t>
  </si>
  <si>
    <t>TCLK</t>
  </si>
  <si>
    <t>AGTO5</t>
  </si>
  <si>
    <t>ET0_MDC</t>
  </si>
  <si>
    <t>SD0CLK</t>
  </si>
  <si>
    <t>AGT5: AGTO5</t>
  </si>
  <si>
    <t>P300</t>
  </si>
  <si>
    <t>DEBUG0_SWCLK</t>
  </si>
  <si>
    <t>SWCLK/TCK</t>
  </si>
  <si>
    <t>GTOUUP</t>
  </si>
  <si>
    <t>DEBUG0: SWCLK</t>
  </si>
  <si>
    <t>CGC0_EXTAL</t>
  </si>
  <si>
    <t>EXTAL</t>
  </si>
  <si>
    <t>AGTEE1</t>
  </si>
  <si>
    <t>RXD1/SCL1</t>
  </si>
  <si>
    <t>GTETRGD</t>
  </si>
  <si>
    <t>AGT1: AGTEE1</t>
  </si>
  <si>
    <t>GPT3_GTIOC3A</t>
  </si>
  <si>
    <t>IRQ04</t>
  </si>
  <si>
    <t>SCK2/SCK9</t>
  </si>
  <si>
    <t>GTIOC3A</t>
  </si>
  <si>
    <t>A05</t>
  </si>
  <si>
    <t>MIKROBUS_PWM_ARDUINO_D3_PWM</t>
  </si>
  <si>
    <t>PU 10k (twice!)</t>
  </si>
  <si>
    <t>P303</t>
  </si>
  <si>
    <t>GTIOC7B</t>
  </si>
  <si>
    <t>A08</t>
  </si>
  <si>
    <t>MIKROBUS_RESET_ARDUINO_RESET</t>
  </si>
  <si>
    <t>BUS_ASYNCH0: A08</t>
  </si>
  <si>
    <t>ETHERC_RMII0_ET0_MDIO</t>
  </si>
  <si>
    <t>AGTIO0/AGTIO1/AGTIO2/AGTIO3</t>
  </si>
  <si>
    <t>CTS4/RXD7/SCL7</t>
  </si>
  <si>
    <t>RTCIC0</t>
  </si>
  <si>
    <t>ETH_MDIO</t>
  </si>
  <si>
    <t>PU 10k</t>
  </si>
  <si>
    <t>SPI1_MOSIB</t>
  </si>
  <si>
    <t>AGTOA1</t>
  </si>
  <si>
    <t>RMII_RXD0</t>
  </si>
  <si>
    <t>TXD0/SDA0/CTSRTS3</t>
  </si>
  <si>
    <t>GTIOC9A</t>
  </si>
  <si>
    <t>TS07</t>
  </si>
  <si>
    <t>PMOD2_MOSI</t>
  </si>
  <si>
    <t>AGT1: AGTOA1</t>
  </si>
  <si>
    <t>let float</t>
  </si>
  <si>
    <t>P306</t>
  </si>
  <si>
    <t>QSPI0_QSSL</t>
  </si>
  <si>
    <t>AGTOA2</t>
  </si>
  <si>
    <t>SCK6</t>
  </si>
  <si>
    <t>A11</t>
  </si>
  <si>
    <t>QSPI_CS</t>
  </si>
  <si>
    <t>AGT2: AGTOA2</t>
  </si>
  <si>
    <t>P307</t>
  </si>
  <si>
    <t>QSPI0_QIO0</t>
  </si>
  <si>
    <t>AGTEE4</t>
  </si>
  <si>
    <t>CTSRTS6</t>
  </si>
  <si>
    <t>A12</t>
  </si>
  <si>
    <t>QSPI_IO0</t>
  </si>
  <si>
    <t>AGT4: AGTEE4</t>
  </si>
  <si>
    <t>P308</t>
  </si>
  <si>
    <t>QSPI0_QIO1</t>
  </si>
  <si>
    <t>AGTOB4</t>
  </si>
  <si>
    <t>CTS3/CTS6</t>
  </si>
  <si>
    <t>A13</t>
  </si>
  <si>
    <t>QSPI_IO1</t>
  </si>
  <si>
    <t>AGT4: AGTOB4</t>
  </si>
  <si>
    <t>P309</t>
  </si>
  <si>
    <t>QSPI0_QIO2</t>
  </si>
  <si>
    <t>AGTOA4</t>
  </si>
  <si>
    <t>RXD3/SCL3</t>
  </si>
  <si>
    <t>A14</t>
  </si>
  <si>
    <t>QSPI_IO2</t>
  </si>
  <si>
    <t>AGT4: AGTOA4</t>
  </si>
  <si>
    <t>P310</t>
  </si>
  <si>
    <t>QSPI0_QIO3</t>
  </si>
  <si>
    <t>TXD3/SDA3</t>
  </si>
  <si>
    <t>A15</t>
  </si>
  <si>
    <t>QSPI_IO3</t>
  </si>
  <si>
    <t>P311</t>
  </si>
  <si>
    <t>AGTOB1</t>
  </si>
  <si>
    <t>SCK3</t>
  </si>
  <si>
    <t>CS2</t>
  </si>
  <si>
    <t>PMOD1_RST</t>
  </si>
  <si>
    <t>AGT1: AGTOB1</t>
  </si>
  <si>
    <t>P312</t>
  </si>
  <si>
    <t>CTSRTS3</t>
  </si>
  <si>
    <t>CS3</t>
  </si>
  <si>
    <t>P313</t>
  </si>
  <si>
    <t>SD0DAT7</t>
  </si>
  <si>
    <t>A20</t>
  </si>
  <si>
    <t>BUS_ASYNCH0: A20</t>
  </si>
  <si>
    <t>P314</t>
  </si>
  <si>
    <t>A21</t>
  </si>
  <si>
    <t>P315</t>
  </si>
  <si>
    <t>RXD4/SCL4</t>
  </si>
  <si>
    <t>A22</t>
  </si>
  <si>
    <t>BUS_ASYNCH0: A22</t>
  </si>
  <si>
    <t>ICU0: IRQ04</t>
  </si>
  <si>
    <t>ETHER</t>
  </si>
  <si>
    <t>SPI0_SSLA3</t>
  </si>
  <si>
    <t>IRQ05</t>
  </si>
  <si>
    <t>TXD2/SDA2</t>
  </si>
  <si>
    <t>SSLA3</t>
  </si>
  <si>
    <t>A07</t>
  </si>
  <si>
    <t>PMOD1_SS3</t>
  </si>
  <si>
    <t>BUS_ASYNCH0: A07</t>
  </si>
  <si>
    <t>ETHERC_RMII0_ET0_MDC</t>
  </si>
  <si>
    <t>SDA0</t>
  </si>
  <si>
    <t>CTSRTS4/TXD7/SDA7</t>
  </si>
  <si>
    <t>GTIOC6B</t>
  </si>
  <si>
    <t>ETH_MDC</t>
  </si>
  <si>
    <t>CAN0: CTX0</t>
  </si>
  <si>
    <t>SPI1_MISOB</t>
  </si>
  <si>
    <t>SCL2</t>
  </si>
  <si>
    <t>RMII_RXD1</t>
  </si>
  <si>
    <t>RXD0/SCL0/SCK3</t>
  </si>
  <si>
    <t>GTIOC9B</t>
  </si>
  <si>
    <t>TS06</t>
  </si>
  <si>
    <t>SD0DAT1</t>
  </si>
  <si>
    <t>PMOD2_MISO</t>
  </si>
  <si>
    <t>ICU0: IRQ05</t>
  </si>
  <si>
    <t>P405</t>
  </si>
  <si>
    <t>ETHERC_RMII0_RMII_TXD_EN</t>
  </si>
  <si>
    <t>RMII_TXD_EN</t>
  </si>
  <si>
    <t>ETH_TXEN</t>
  </si>
  <si>
    <t>ETHERC_MII0: ET0_TX_EN</t>
  </si>
  <si>
    <t>P406</t>
  </si>
  <si>
    <t>ETHERC_RMII0_RMII_TXD1</t>
  </si>
  <si>
    <t>RMII_TXD1</t>
  </si>
  <si>
    <t>ETH_TXD1</t>
  </si>
  <si>
    <t>P407</t>
  </si>
  <si>
    <t>USB_FS0_USB_VBUS</t>
  </si>
  <si>
    <t>CTSRTS4</t>
  </si>
  <si>
    <t>RTCOUT</t>
  </si>
  <si>
    <t>TS03</t>
  </si>
  <si>
    <t>USB_VBUS</t>
  </si>
  <si>
    <t>USBFS_VBUS</t>
  </si>
  <si>
    <t>SPI0_SSLA2</t>
  </si>
  <si>
    <t>RXD2/SCL2/CTSRTS9</t>
  </si>
  <si>
    <t>A06</t>
  </si>
  <si>
    <t>PMOD1_SS2</t>
  </si>
  <si>
    <t>POP2()</t>
  </si>
  <si>
    <t>SDA2</t>
  </si>
  <si>
    <t>RMII_RX_ER</t>
  </si>
  <si>
    <t>USBHS_EXICEN</t>
  </si>
  <si>
    <t>TS05</t>
  </si>
  <si>
    <t>USB_EXICEN</t>
  </si>
  <si>
    <t>MIKROBUS_INT_ARDUINO_INT0</t>
  </si>
  <si>
    <t>PMOD2</t>
  </si>
  <si>
    <t>RXD0</t>
  </si>
  <si>
    <t>ICU0: IRQ06</t>
  </si>
  <si>
    <t>TXD0</t>
  </si>
  <si>
    <t>AGTOB2</t>
  </si>
  <si>
    <t>RMII_CRS_DV</t>
  </si>
  <si>
    <t>RXD3/SCL3/CTS4</t>
  </si>
  <si>
    <t>USBHS_ID</t>
  </si>
  <si>
    <t>TS04</t>
  </si>
  <si>
    <t>USB_ID</t>
  </si>
  <si>
    <t>PMOD2_SS2</t>
  </si>
  <si>
    <t>AGT2: AGTOB2</t>
  </si>
  <si>
    <t>RTS</t>
  </si>
  <si>
    <t>P412</t>
  </si>
  <si>
    <t>SPI1_RSPCKB</t>
  </si>
  <si>
    <t>REF50CK</t>
  </si>
  <si>
    <t>SCK0/CTS3</t>
  </si>
  <si>
    <t>TS08</t>
  </si>
  <si>
    <t>PMOD2_SCK</t>
  </si>
  <si>
    <t>CTS</t>
  </si>
  <si>
    <t>P413</t>
  </si>
  <si>
    <t>SPI1_SSLB0</t>
  </si>
  <si>
    <t>RMII_TXD0</t>
  </si>
  <si>
    <t>TS09</t>
  </si>
  <si>
    <t>PMOS2_SS</t>
  </si>
  <si>
    <t>OSPI_RST</t>
  </si>
  <si>
    <t>Output mode (Initial High)</t>
  </si>
  <si>
    <t>ICU0: IRQ07</t>
  </si>
  <si>
    <t>USBHS_OVRCURB</t>
  </si>
  <si>
    <t>ETH_INT</t>
  </si>
  <si>
    <t>USB_FS0_USB_VBUSEN</t>
  </si>
  <si>
    <t>CTS5</t>
  </si>
  <si>
    <t>USBFS_VBUS_EN</t>
  </si>
  <si>
    <t>ADC1: AN116</t>
  </si>
  <si>
    <t>USB_FS0_USB_OVRCURA</t>
  </si>
  <si>
    <t>TXD5/SDA5</t>
  </si>
  <si>
    <t>USBFS_OVERCURA</t>
  </si>
  <si>
    <t>ADC1: AN117</t>
  </si>
  <si>
    <t>RXD5/SCL5/CTS6</t>
  </si>
  <si>
    <t>ADC1: AN118</t>
  </si>
  <si>
    <t>SCK5/CTSRTS6</t>
  </si>
  <si>
    <t>ADC1: AN119</t>
  </si>
  <si>
    <t>CTSRTS5/SCK6</t>
  </si>
  <si>
    <t>ALE</t>
  </si>
  <si>
    <t>ADC1: AN120</t>
  </si>
  <si>
    <t>PU 1.5k</t>
  </si>
  <si>
    <t>SCI6_SCL6</t>
  </si>
  <si>
    <t>RXD6/SCL6</t>
  </si>
  <si>
    <t>GROVE2_SCL</t>
  </si>
  <si>
    <t>ADC1: AN121</t>
  </si>
  <si>
    <t>SCI6_SDA6</t>
  </si>
  <si>
    <t>TXD6/SDA6</t>
  </si>
  <si>
    <t>GROVE2_SDA</t>
  </si>
  <si>
    <t>ADC1: AN122</t>
  </si>
  <si>
    <t>SCK5/SCK6</t>
  </si>
  <si>
    <t>ADC1: AN123</t>
  </si>
  <si>
    <t>CTSRTS5</t>
  </si>
  <si>
    <t>ADC1: AN124</t>
  </si>
  <si>
    <t>SCL1 pu 1.5k</t>
  </si>
  <si>
    <t>POP6()</t>
  </si>
  <si>
    <t>P305</t>
  </si>
  <si>
    <t>QSPI0_QSPCLK</t>
  </si>
  <si>
    <t>A10</t>
  </si>
  <si>
    <t>QSPI_CLK</t>
  </si>
  <si>
    <t>SDA1 pu 1.5k</t>
  </si>
  <si>
    <t>POP7()</t>
  </si>
  <si>
    <t>P415</t>
  </si>
  <si>
    <t>IIC2_SCL2</t>
  </si>
  <si>
    <t>AGTIO4</t>
  </si>
  <si>
    <t>TS11</t>
  </si>
  <si>
    <t>GROVE1_SCL_QWIIC_SCL</t>
  </si>
  <si>
    <t>AGT4: AGTIO4</t>
  </si>
  <si>
    <t>P513</t>
  </si>
  <si>
    <t>RXD5/SCL5</t>
  </si>
  <si>
    <t>SCI5: RXD5</t>
  </si>
  <si>
    <t>P600</t>
  </si>
  <si>
    <t>OSPI0_OMSIO4</t>
  </si>
  <si>
    <t>AGTIO3</t>
  </si>
  <si>
    <t>SCK9</t>
  </si>
  <si>
    <t>RD</t>
  </si>
  <si>
    <t>OMSIO4</t>
  </si>
  <si>
    <t>OSPI_SIO4</t>
  </si>
  <si>
    <t>AGT3: AGTIO3</t>
  </si>
  <si>
    <t>P601</t>
  </si>
  <si>
    <t>OSPI0_OMSIO2</t>
  </si>
  <si>
    <t>RXD9/SCL9</t>
  </si>
  <si>
    <t>WR</t>
  </si>
  <si>
    <t>OMSIO2</t>
  </si>
  <si>
    <t>OSPI_SIO2</t>
  </si>
  <si>
    <t>P602</t>
  </si>
  <si>
    <t>OSPI0_OMCS1</t>
  </si>
  <si>
    <t>AGTO3</t>
  </si>
  <si>
    <t>EBCLK</t>
  </si>
  <si>
    <t>OSPI_CS1</t>
  </si>
  <si>
    <t>AGT3: AGTO3</t>
  </si>
  <si>
    <t>P603</t>
  </si>
  <si>
    <t>GTIOC7A</t>
  </si>
  <si>
    <t>D13</t>
  </si>
  <si>
    <t>P604</t>
  </si>
  <si>
    <t>D12</t>
  </si>
  <si>
    <t>P605</t>
  </si>
  <si>
    <t>AGTO4</t>
  </si>
  <si>
    <t>CTS8</t>
  </si>
  <si>
    <t>D11</t>
  </si>
  <si>
    <t>AGT4: AGTO4</t>
  </si>
  <si>
    <t>P606</t>
  </si>
  <si>
    <t>RTC0: RTCOUT</t>
  </si>
  <si>
    <t>P607</t>
  </si>
  <si>
    <t>SCI8: RXD8</t>
  </si>
  <si>
    <t>P608</t>
  </si>
  <si>
    <t>A00</t>
  </si>
  <si>
    <t>ARDUINO_D7</t>
  </si>
  <si>
    <t>BUS_ASYNCH0: A00</t>
  </si>
  <si>
    <t>P609</t>
  </si>
  <si>
    <t>CANFD1_CTX1</t>
  </si>
  <si>
    <t>CS1</t>
  </si>
  <si>
    <t>OMECS</t>
  </si>
  <si>
    <t>CAN_TXD</t>
  </si>
  <si>
    <t>P610</t>
  </si>
  <si>
    <t>CANFD1_CRX1</t>
  </si>
  <si>
    <t>CTS7</t>
  </si>
  <si>
    <t>CS0</t>
  </si>
  <si>
    <t>OMCS0</t>
  </si>
  <si>
    <t>CAN_RDX</t>
  </si>
  <si>
    <t>P611</t>
  </si>
  <si>
    <t>CTSRTS7</t>
  </si>
  <si>
    <t>CAN_STBY</t>
  </si>
  <si>
    <t>P612</t>
  </si>
  <si>
    <t>SCK7</t>
  </si>
  <si>
    <t>D08</t>
  </si>
  <si>
    <t>Console</t>
  </si>
  <si>
    <t>P613</t>
  </si>
  <si>
    <t>SCI7_TXD7</t>
  </si>
  <si>
    <t>TXD7/SDA7</t>
  </si>
  <si>
    <t>D09</t>
  </si>
  <si>
    <t>MIKROBUS_TX_ARDUINO_TX</t>
  </si>
  <si>
    <t>P614</t>
  </si>
  <si>
    <t>SCI7_RXD7</t>
  </si>
  <si>
    <t>RXD7/SCL7</t>
  </si>
  <si>
    <t>D10</t>
  </si>
  <si>
    <t>MIKROBUS_RX_ARDUINO_RX</t>
  </si>
  <si>
    <t>AGT0: AGTO0</t>
  </si>
  <si>
    <t>QSPI reset</t>
  </si>
  <si>
    <t>USB_HS0_USBHS_OVRCURA</t>
  </si>
  <si>
    <t>USBHS_OVRCURA</t>
  </si>
  <si>
    <t>USBHS_OVERCURA</t>
  </si>
  <si>
    <t>ICU0: IRQ08</t>
  </si>
  <si>
    <t>P700</t>
  </si>
  <si>
    <t>ETHERC_RMII0_RMII_TXD0</t>
  </si>
  <si>
    <t>ETH_TXD0</t>
  </si>
  <si>
    <t>P701</t>
  </si>
  <si>
    <t>ETHERC_RMII0_REF50CK</t>
  </si>
  <si>
    <t>ETH_50REF</t>
  </si>
  <si>
    <t>P702</t>
  </si>
  <si>
    <t>ETHERC_RMII0_RMII_RXD0</t>
  </si>
  <si>
    <t>ETH_RXD0</t>
  </si>
  <si>
    <t>P703</t>
  </si>
  <si>
    <t>ETHERC_RMII0_RMII_RXD1</t>
  </si>
  <si>
    <t>ETH_RXD1</t>
  </si>
  <si>
    <t>P704</t>
  </si>
  <si>
    <t>ETHERC_RMII0_RMII_RX_ER</t>
  </si>
  <si>
    <t>ETH_RXERR</t>
  </si>
  <si>
    <t>P705</t>
  </si>
  <si>
    <t>ETHERC_RMII0_RMII_CRS_DV</t>
  </si>
  <si>
    <t>CTS3</t>
  </si>
  <si>
    <t>ETH_CRSDV</t>
  </si>
  <si>
    <t>PMOD1_INT</t>
  </si>
  <si>
    <t>A09</t>
  </si>
  <si>
    <t>IIC2_SDA2</t>
  </si>
  <si>
    <t>CTS0</t>
  </si>
  <si>
    <t>TS10</t>
  </si>
  <si>
    <t>GROVE1_SDA_QWIIC_SDA</t>
  </si>
  <si>
    <t>D14</t>
  </si>
  <si>
    <t>ADC1: AN125</t>
  </si>
  <si>
    <t>D15</t>
  </si>
  <si>
    <t>ADC1: AN126</t>
  </si>
  <si>
    <t>ADC1: AN127</t>
  </si>
  <si>
    <t>ADC1: AN128</t>
  </si>
  <si>
    <t>ICU0: IRQ09</t>
  </si>
  <si>
    <t>P805</t>
  </si>
  <si>
    <t>SCI5: SDA5</t>
  </si>
  <si>
    <t>ICU0: IRQ10</t>
  </si>
  <si>
    <t>P900</t>
  </si>
  <si>
    <t>A23</t>
  </si>
  <si>
    <t>BUS_ASYNCH0: A23</t>
  </si>
  <si>
    <t>P901</t>
  </si>
  <si>
    <t>SCK4</t>
  </si>
  <si>
    <t>SPI1_SSLB3</t>
  </si>
  <si>
    <t>TS12</t>
  </si>
  <si>
    <t>PMOD2_SS3</t>
  </si>
  <si>
    <t>CAC0: CACREF</t>
  </si>
  <si>
    <t>ICU0: IRQ11</t>
  </si>
  <si>
    <t>RTCIC1</t>
  </si>
  <si>
    <t>ETH_RST</t>
  </si>
  <si>
    <t>IIC1_SCL1</t>
  </si>
  <si>
    <t>MIKROBUS_SCL_ARDUINO_SCL</t>
  </si>
  <si>
    <t>CAN1: CTX1</t>
  </si>
  <si>
    <t>PA00</t>
  </si>
  <si>
    <t>SCI8: SDA8</t>
  </si>
  <si>
    <t>PA01</t>
  </si>
  <si>
    <t>SCI8: SCK8</t>
  </si>
  <si>
    <t>RTCIC2</t>
  </si>
  <si>
    <t>PMOD2_RST</t>
  </si>
  <si>
    <t>IIC1_SDA1</t>
  </si>
  <si>
    <t>MIKROBUS_SDA_ARDUINO_SDA</t>
  </si>
  <si>
    <t>CAN1: CRX1</t>
  </si>
  <si>
    <t>P200</t>
  </si>
  <si>
    <t>N</t>
  </si>
  <si>
    <t>NMI</t>
  </si>
  <si>
    <t>ICU0: NMI</t>
  </si>
  <si>
    <t>PB00</t>
  </si>
  <si>
    <t>USB_HS0_USBHS_VBUSEN</t>
  </si>
  <si>
    <t>USBHS_VBUSEN</t>
  </si>
  <si>
    <t>USBHS_VBUS_EN</t>
  </si>
  <si>
    <t>SCI3: SCK3</t>
  </si>
  <si>
    <t>PB01</t>
  </si>
  <si>
    <t>USB_HS0_USBHS_VBUS</t>
  </si>
  <si>
    <t>USBHS_VBUS</t>
  </si>
  <si>
    <t>SCI3: CTSRTS3</t>
  </si>
  <si>
    <t>PVSSUSBHS</t>
  </si>
  <si>
    <t>USB_HS0_PVSS_USBHS</t>
  </si>
  <si>
    <t>PVSS_USBHS</t>
  </si>
  <si>
    <t>RES</t>
  </si>
  <si>
    <t>SYSTEM0_RES</t>
  </si>
  <si>
    <t>USBDM</t>
  </si>
  <si>
    <t>USB_FS0_USB_DM</t>
  </si>
  <si>
    <t>USB_DM</t>
  </si>
  <si>
    <t>USBDP</t>
  </si>
  <si>
    <t>USB_FS0_USB_DP</t>
  </si>
  <si>
    <t>USB_DP</t>
  </si>
  <si>
    <t>USBHSDM</t>
  </si>
  <si>
    <t>USB_HS0_USBHS_DM</t>
  </si>
  <si>
    <t>USBHS_DM</t>
  </si>
  <si>
    <t>USBHSDP</t>
  </si>
  <si>
    <t>USB_HS0_USBHS_DP</t>
  </si>
  <si>
    <t>USBHS_DP</t>
  </si>
  <si>
    <t>USBHSRREF</t>
  </si>
  <si>
    <t>USB_HS0_USBHS_RREF</t>
  </si>
  <si>
    <t>USBHS_RREF</t>
  </si>
  <si>
    <t>VBATT</t>
  </si>
  <si>
    <t>SYSTEM0_VBATT</t>
  </si>
  <si>
    <t>VCC</t>
  </si>
  <si>
    <t>SYSTEM0_VCC</t>
  </si>
  <si>
    <t>VCCUSB</t>
  </si>
  <si>
    <t>USB_FS0_VCC_USB</t>
  </si>
  <si>
    <t>VCC_USB</t>
  </si>
  <si>
    <t>VCCUSBHS</t>
  </si>
  <si>
    <t>USB_HS0_VCC_USBHS</t>
  </si>
  <si>
    <t>VCC_USBHS</t>
  </si>
  <si>
    <t>VCL</t>
  </si>
  <si>
    <t>SYSTEM0_VCL</t>
  </si>
  <si>
    <t>VCL0</t>
  </si>
  <si>
    <t>SYSTEM0_VCL0</t>
  </si>
  <si>
    <t>VREFH</t>
  </si>
  <si>
    <t>ANALOG0_VREFH</t>
  </si>
  <si>
    <t>VREFH0</t>
  </si>
  <si>
    <t>ANALOG0_VREFH0</t>
  </si>
  <si>
    <t>VREFL</t>
  </si>
  <si>
    <t>ANALOG0_VREFL</t>
  </si>
  <si>
    <t>VREFL0</t>
  </si>
  <si>
    <t>ANALOG0_VREFL0</t>
  </si>
  <si>
    <t>VSS</t>
  </si>
  <si>
    <t>SYSTEM0_VSS</t>
  </si>
  <si>
    <t>VSS1USBHS</t>
  </si>
  <si>
    <t>USB_HS0_VSS1_USBHS</t>
  </si>
  <si>
    <t>VSS1_USBHS</t>
  </si>
  <si>
    <t>VSS2USBHS</t>
  </si>
  <si>
    <t>USB_HS0_VSS2_USBHS</t>
  </si>
  <si>
    <t>VSS2_USBHS</t>
  </si>
  <si>
    <t>VSSUSB</t>
  </si>
  <si>
    <t>USB_FS0_VSS_USB</t>
  </si>
  <si>
    <t>VSS_USB</t>
  </si>
  <si>
    <t>XCIN</t>
  </si>
  <si>
    <t>CGC0_XCIN</t>
  </si>
  <si>
    <t>XCOUT</t>
  </si>
  <si>
    <t>CGC0_XCOUT</t>
  </si>
  <si>
    <t>TI</t>
  </si>
  <si>
    <t>0x40080000</t>
  </si>
  <si>
    <t>0x00</t>
  </si>
  <si>
    <t>PODR PDR</t>
  </si>
  <si>
    <t>EIDR PIDR</t>
  </si>
  <si>
    <t>0x04</t>
  </si>
  <si>
    <t>PORR POSR</t>
  </si>
  <si>
    <t>0x08</t>
  </si>
  <si>
    <t>POSR 1 = force high</t>
  </si>
  <si>
    <t>PORR 1 = force low</t>
  </si>
  <si>
    <t>EORR EOSR</t>
  </si>
  <si>
    <t>0x0C</t>
  </si>
  <si>
    <t>same, but with event link</t>
  </si>
  <si>
    <t>0x10</t>
  </si>
  <si>
    <t>0x14</t>
  </si>
  <si>
    <t>0x18</t>
  </si>
  <si>
    <t>0x1C</t>
  </si>
  <si>
    <t>0x20</t>
  </si>
  <si>
    <t>&lt;-- 12 of these</t>
  </si>
  <si>
    <t>0x40</t>
  </si>
  <si>
    <t>0x40080800</t>
  </si>
  <si>
    <t>PORT[1]</t>
  </si>
  <si>
    <t>PORT[0x0B]</t>
  </si>
  <si>
    <t>P00_PFS</t>
  </si>
  <si>
    <t>0x0000</t>
  </si>
  <si>
    <t>m-64</t>
  </si>
  <si>
    <t>p-4</t>
  </si>
  <si>
    <t>POP0()</t>
  </si>
  <si>
    <t>POP4()</t>
  </si>
  <si>
    <t>POP5()</t>
  </si>
  <si>
    <t>DMON2</t>
  </si>
  <si>
    <t>DMON3</t>
  </si>
  <si>
    <t>DMON4</t>
  </si>
  <si>
    <t>EN2</t>
  </si>
  <si>
    <t>EN3</t>
  </si>
  <si>
    <t>EN4</t>
  </si>
  <si>
    <t>EN5</t>
  </si>
  <si>
    <t>EN6</t>
  </si>
  <si>
    <t>EN7</t>
  </si>
  <si>
    <t>EN8</t>
  </si>
  <si>
    <t>EN12</t>
  </si>
  <si>
    <t>EN13</t>
  </si>
  <si>
    <t>EN14</t>
  </si>
  <si>
    <t>EN15</t>
  </si>
  <si>
    <t>EN16</t>
  </si>
  <si>
    <t>ID</t>
  </si>
  <si>
    <t>IDx0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</si>
</sst>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" fontId="0" fillId="0" borderId="0" xfId="0" quotePrefix="1" applyNumberFormat="1"/>
    <xf numFmtId="17" fontId="0" fillId="0" borderId="0" xfId="0" quotePrefix="1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0" xfId="0" applyNumberFormat="1"/>
    <xf numFmtId="0" fontId="0" fillId="10" borderId="0" xfId="0" applyFill="1"/>
    <xf numFmtId="49" fontId="0" fillId="10" borderId="0" xfId="0" applyNumberFormat="1" applyFill="1"/>
    <xf numFmtId="49" fontId="0" fillId="11" borderId="0" xfId="0" applyNumberFormat="1" applyFill="1"/>
    <xf numFmtId="0" fontId="0" fillId="12" borderId="0" xfId="0" applyFill="1"/>
    <xf numFmtId="49" fontId="0" fillId="12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0" fontId="0" fillId="0" borderId="7" xfId="0" applyBorder="1"/>
    <xf numFmtId="0" fontId="0" fillId="0" borderId="8" xfId="0" applyBorder="1"/>
    <xf numFmtId="0" fontId="0" fillId="1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6B8D-FE2F-4541-9D73-52590DEE3D06}">
  <dimension ref="A2:K90"/>
  <sheetViews>
    <sheetView workbookViewId="0">
      <selection activeCell="G15" sqref="G15"/>
    </sheetView>
  </sheetViews>
  <sheetFormatPr defaultRowHeight="15" x14ac:dyDescent="0.25"/>
  <cols>
    <col min="1" max="1" width="12" customWidth="1"/>
    <col min="2" max="2" width="19.5703125" customWidth="1"/>
    <col min="3" max="3" width="16.140625" customWidth="1"/>
    <col min="5" max="5" width="14.42578125" customWidth="1"/>
    <col min="10" max="10" width="15.85546875" customWidth="1"/>
    <col min="11" max="11" width="13.7109375" customWidth="1"/>
  </cols>
  <sheetData>
    <row r="2" spans="1:5" x14ac:dyDescent="0.25">
      <c r="B2" s="5" t="s">
        <v>21</v>
      </c>
      <c r="C2" s="5" t="s">
        <v>948</v>
      </c>
    </row>
    <row r="3" spans="1:5" x14ac:dyDescent="0.25">
      <c r="C3" t="s">
        <v>0</v>
      </c>
      <c r="D3" t="s">
        <v>42</v>
      </c>
      <c r="E3" t="s">
        <v>56</v>
      </c>
    </row>
    <row r="4" spans="1:5" x14ac:dyDescent="0.25">
      <c r="C4" t="s">
        <v>1</v>
      </c>
      <c r="D4" t="s">
        <v>43</v>
      </c>
      <c r="E4" t="s">
        <v>57</v>
      </c>
    </row>
    <row r="5" spans="1:5" x14ac:dyDescent="0.25">
      <c r="C5" t="s">
        <v>2</v>
      </c>
      <c r="D5" t="s">
        <v>44</v>
      </c>
      <c r="E5" t="s">
        <v>58</v>
      </c>
    </row>
    <row r="6" spans="1:5" x14ac:dyDescent="0.25">
      <c r="C6" t="s">
        <v>3</v>
      </c>
      <c r="D6" t="s">
        <v>45</v>
      </c>
      <c r="E6" t="s">
        <v>55</v>
      </c>
    </row>
    <row r="7" spans="1:5" x14ac:dyDescent="0.25">
      <c r="B7" s="4" t="s">
        <v>47</v>
      </c>
      <c r="C7" t="s">
        <v>4</v>
      </c>
      <c r="D7" t="s">
        <v>46</v>
      </c>
      <c r="E7" t="s">
        <v>59</v>
      </c>
    </row>
    <row r="8" spans="1:5" x14ac:dyDescent="0.25">
      <c r="B8" s="4" t="s">
        <v>48</v>
      </c>
      <c r="C8" t="s">
        <v>5</v>
      </c>
      <c r="D8" t="s">
        <v>49</v>
      </c>
      <c r="E8" t="s">
        <v>60</v>
      </c>
    </row>
    <row r="9" spans="1:5" x14ac:dyDescent="0.25">
      <c r="B9" s="4" t="s">
        <v>162</v>
      </c>
      <c r="C9" t="s">
        <v>6</v>
      </c>
      <c r="D9" t="s">
        <v>50</v>
      </c>
      <c r="E9" t="s">
        <v>61</v>
      </c>
    </row>
    <row r="10" spans="1:5" x14ac:dyDescent="0.25">
      <c r="B10" s="4" t="s">
        <v>163</v>
      </c>
      <c r="C10" t="s">
        <v>7</v>
      </c>
      <c r="D10" t="s">
        <v>51</v>
      </c>
      <c r="E10" t="s">
        <v>62</v>
      </c>
    </row>
    <row r="11" spans="1:5" x14ac:dyDescent="0.25">
      <c r="A11" t="s">
        <v>41</v>
      </c>
      <c r="B11" s="4" t="s">
        <v>164</v>
      </c>
      <c r="C11" s="3" t="s">
        <v>8</v>
      </c>
      <c r="D11" t="s">
        <v>52</v>
      </c>
      <c r="E11" t="s">
        <v>63</v>
      </c>
    </row>
    <row r="12" spans="1:5" x14ac:dyDescent="0.25">
      <c r="B12" t="s">
        <v>41</v>
      </c>
      <c r="C12" t="s">
        <v>27</v>
      </c>
      <c r="D12" t="s">
        <v>53</v>
      </c>
      <c r="E12" t="s">
        <v>64</v>
      </c>
    </row>
    <row r="13" spans="1:5" x14ac:dyDescent="0.25">
      <c r="B13" t="s">
        <v>41</v>
      </c>
      <c r="C13" t="s">
        <v>28</v>
      </c>
      <c r="D13" t="s">
        <v>54</v>
      </c>
      <c r="E13" t="s">
        <v>65</v>
      </c>
    </row>
    <row r="14" spans="1:5" x14ac:dyDescent="0.25">
      <c r="A14" t="s">
        <v>41</v>
      </c>
      <c r="B14" t="s">
        <v>41</v>
      </c>
      <c r="C14" s="3" t="s">
        <v>29</v>
      </c>
      <c r="D14" t="s">
        <v>66</v>
      </c>
      <c r="E14" t="s">
        <v>67</v>
      </c>
    </row>
    <row r="15" spans="1:5" x14ac:dyDescent="0.25">
      <c r="C15" t="s">
        <v>30</v>
      </c>
      <c r="D15" t="s">
        <v>68</v>
      </c>
      <c r="E15" t="s">
        <v>69</v>
      </c>
    </row>
    <row r="16" spans="1:5" x14ac:dyDescent="0.25">
      <c r="B16" s="4" t="s">
        <v>96</v>
      </c>
      <c r="C16" t="s">
        <v>31</v>
      </c>
      <c r="D16" t="s">
        <v>70</v>
      </c>
      <c r="E16" t="s">
        <v>82</v>
      </c>
    </row>
    <row r="17" spans="1:10" x14ac:dyDescent="0.25">
      <c r="B17" s="4" t="s">
        <v>96</v>
      </c>
      <c r="C17" t="s">
        <v>32</v>
      </c>
      <c r="D17" t="s">
        <v>71</v>
      </c>
      <c r="E17" t="s">
        <v>83</v>
      </c>
    </row>
    <row r="18" spans="1:10" x14ac:dyDescent="0.25">
      <c r="A18" t="s">
        <v>41</v>
      </c>
      <c r="C18" s="3" t="s">
        <v>33</v>
      </c>
      <c r="D18" t="s">
        <v>72</v>
      </c>
      <c r="E18" t="s">
        <v>84</v>
      </c>
    </row>
    <row r="19" spans="1:10" x14ac:dyDescent="0.25">
      <c r="C19" t="s">
        <v>34</v>
      </c>
      <c r="D19" t="s">
        <v>73</v>
      </c>
      <c r="E19" t="s">
        <v>85</v>
      </c>
    </row>
    <row r="20" spans="1:10" x14ac:dyDescent="0.25">
      <c r="C20" t="s">
        <v>35</v>
      </c>
      <c r="D20" t="s">
        <v>74</v>
      </c>
      <c r="E20" t="s">
        <v>86</v>
      </c>
    </row>
    <row r="21" spans="1:10" x14ac:dyDescent="0.25">
      <c r="B21" s="6" t="s">
        <v>97</v>
      </c>
      <c r="C21" t="s">
        <v>36</v>
      </c>
      <c r="D21" t="s">
        <v>75</v>
      </c>
      <c r="E21" t="s">
        <v>87</v>
      </c>
    </row>
    <row r="22" spans="1:10" x14ac:dyDescent="0.25">
      <c r="B22" s="6" t="s">
        <v>98</v>
      </c>
      <c r="C22" t="s">
        <v>37</v>
      </c>
      <c r="D22" t="s">
        <v>76</v>
      </c>
      <c r="E22" t="s">
        <v>88</v>
      </c>
    </row>
    <row r="23" spans="1:10" x14ac:dyDescent="0.25">
      <c r="C23" t="s">
        <v>38</v>
      </c>
      <c r="D23" t="s">
        <v>77</v>
      </c>
      <c r="E23" t="s">
        <v>89</v>
      </c>
    </row>
    <row r="24" spans="1:10" x14ac:dyDescent="0.25">
      <c r="C24" t="s">
        <v>39</v>
      </c>
      <c r="D24" t="s">
        <v>78</v>
      </c>
      <c r="E24" t="s">
        <v>90</v>
      </c>
    </row>
    <row r="25" spans="1:10" x14ac:dyDescent="0.25">
      <c r="C25" t="s">
        <v>40</v>
      </c>
      <c r="D25" t="s">
        <v>79</v>
      </c>
      <c r="E25" t="s">
        <v>91</v>
      </c>
    </row>
    <row r="26" spans="1:10" x14ac:dyDescent="0.25">
      <c r="C26" t="s">
        <v>11</v>
      </c>
      <c r="D26" t="s">
        <v>80</v>
      </c>
      <c r="E26" t="s">
        <v>92</v>
      </c>
    </row>
    <row r="27" spans="1:10" x14ac:dyDescent="0.25">
      <c r="D27" t="s">
        <v>81</v>
      </c>
      <c r="E27" t="s">
        <v>94</v>
      </c>
    </row>
    <row r="28" spans="1:10" x14ac:dyDescent="0.25">
      <c r="D28" t="s">
        <v>93</v>
      </c>
      <c r="E28" t="s">
        <v>95</v>
      </c>
    </row>
    <row r="29" spans="1:10" x14ac:dyDescent="0.25">
      <c r="D29" s="29" t="s">
        <v>161</v>
      </c>
      <c r="E29" s="29"/>
      <c r="F29" s="29"/>
      <c r="G29" s="29"/>
      <c r="H29" s="29"/>
      <c r="I29" s="29"/>
      <c r="J29" s="29"/>
    </row>
    <row r="30" spans="1:10" x14ac:dyDescent="0.25">
      <c r="C30" t="s">
        <v>9</v>
      </c>
      <c r="E30" t="s">
        <v>103</v>
      </c>
      <c r="F30" t="s">
        <v>99</v>
      </c>
      <c r="G30" t="s">
        <v>100</v>
      </c>
      <c r="H30" t="s">
        <v>101</v>
      </c>
      <c r="I30" t="s">
        <v>102</v>
      </c>
    </row>
    <row r="31" spans="1:10" x14ac:dyDescent="0.25">
      <c r="C31" t="str">
        <f>_xlfn.CONCAT("DMON",RIGHT(C30,1)+1)</f>
        <v>DMON2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</row>
    <row r="32" spans="1:10" x14ac:dyDescent="0.25">
      <c r="C32" t="str">
        <f t="shared" ref="C32:C36" si="0">_xlfn.CONCAT("DMON",RIGHT(C31,1)+1)</f>
        <v>DMON3</v>
      </c>
      <c r="E32" t="s">
        <v>109</v>
      </c>
      <c r="F32" t="s">
        <v>110</v>
      </c>
      <c r="G32" t="s">
        <v>111</v>
      </c>
      <c r="H32" s="4" t="s">
        <v>112</v>
      </c>
    </row>
    <row r="33" spans="2:11" x14ac:dyDescent="0.25">
      <c r="C33" t="str">
        <f t="shared" si="0"/>
        <v>DMON4</v>
      </c>
      <c r="E33" t="s">
        <v>117</v>
      </c>
      <c r="F33" s="4" t="s">
        <v>113</v>
      </c>
      <c r="G33" t="s">
        <v>114</v>
      </c>
      <c r="H33" s="4" t="s">
        <v>115</v>
      </c>
    </row>
    <row r="34" spans="2:11" x14ac:dyDescent="0.25">
      <c r="C34" t="str">
        <f t="shared" si="0"/>
        <v>DMON5</v>
      </c>
      <c r="E34" t="s">
        <v>118</v>
      </c>
      <c r="F34" t="s">
        <v>116</v>
      </c>
      <c r="G34" t="s">
        <v>119</v>
      </c>
      <c r="H34" t="s">
        <v>120</v>
      </c>
      <c r="I34" t="s">
        <v>121</v>
      </c>
    </row>
    <row r="35" spans="2:11" x14ac:dyDescent="0.25">
      <c r="C35" t="str">
        <f t="shared" si="0"/>
        <v>DMON6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</row>
    <row r="36" spans="2:11" x14ac:dyDescent="0.25">
      <c r="C36" t="str">
        <f t="shared" si="0"/>
        <v>DMON7</v>
      </c>
      <c r="E36" t="s">
        <v>127</v>
      </c>
      <c r="F36" t="s">
        <v>128</v>
      </c>
      <c r="G36" s="8" t="s">
        <v>130</v>
      </c>
      <c r="I36" t="s">
        <v>131</v>
      </c>
    </row>
    <row r="37" spans="2:11" x14ac:dyDescent="0.25">
      <c r="E37" t="s">
        <v>132</v>
      </c>
      <c r="F37" t="s">
        <v>133</v>
      </c>
      <c r="G37" t="s">
        <v>134</v>
      </c>
      <c r="H37" t="s">
        <v>135</v>
      </c>
    </row>
    <row r="38" spans="2:11" x14ac:dyDescent="0.25">
      <c r="E38" t="s">
        <v>136</v>
      </c>
      <c r="F38" s="9" t="s">
        <v>137</v>
      </c>
      <c r="G38" s="9" t="s">
        <v>138</v>
      </c>
      <c r="H38" s="10" t="s">
        <v>140</v>
      </c>
      <c r="I38" t="s">
        <v>142</v>
      </c>
      <c r="J38" s="9" t="s">
        <v>139</v>
      </c>
      <c r="K38" s="10" t="s">
        <v>141</v>
      </c>
    </row>
    <row r="39" spans="2:11" x14ac:dyDescent="0.25">
      <c r="E39" t="s">
        <v>143</v>
      </c>
      <c r="F39" s="6" t="s">
        <v>144</v>
      </c>
      <c r="G39" s="6" t="s">
        <v>145</v>
      </c>
      <c r="I39" t="s">
        <v>150</v>
      </c>
    </row>
    <row r="40" spans="2:11" x14ac:dyDescent="0.25">
      <c r="E40" t="s">
        <v>146</v>
      </c>
      <c r="I40" t="s">
        <v>151</v>
      </c>
    </row>
    <row r="41" spans="2:11" x14ac:dyDescent="0.25">
      <c r="E41" t="s">
        <v>147</v>
      </c>
      <c r="H41" t="s">
        <v>154</v>
      </c>
      <c r="I41" t="s">
        <v>153</v>
      </c>
    </row>
    <row r="42" spans="2:11" x14ac:dyDescent="0.25">
      <c r="B42" s="11" t="s">
        <v>157</v>
      </c>
      <c r="E42" t="s">
        <v>148</v>
      </c>
      <c r="G42" t="s">
        <v>155</v>
      </c>
      <c r="H42" s="11" t="s">
        <v>156</v>
      </c>
      <c r="K42" s="11" t="s">
        <v>157</v>
      </c>
    </row>
    <row r="43" spans="2:11" x14ac:dyDescent="0.25">
      <c r="B43" s="11" t="s">
        <v>160</v>
      </c>
      <c r="E43" t="s">
        <v>149</v>
      </c>
      <c r="G43" t="s">
        <v>158</v>
      </c>
      <c r="H43" s="11" t="s">
        <v>159</v>
      </c>
      <c r="K43" s="11" t="s">
        <v>160</v>
      </c>
    </row>
    <row r="45" spans="2:11" x14ac:dyDescent="0.25">
      <c r="C45" t="s">
        <v>12</v>
      </c>
    </row>
    <row r="46" spans="2:11" x14ac:dyDescent="0.25">
      <c r="C46" t="str">
        <f>_xlfn.CONCAT("EN",RIGHT(C45,1)+1)</f>
        <v>EN2</v>
      </c>
    </row>
    <row r="47" spans="2:11" x14ac:dyDescent="0.25">
      <c r="C47" t="str">
        <f t="shared" ref="C47:C54" si="1">_xlfn.CONCAT("EN",RIGHT(C46,1)+1)</f>
        <v>EN3</v>
      </c>
    </row>
    <row r="48" spans="2:11" x14ac:dyDescent="0.25">
      <c r="C48" t="str">
        <f t="shared" si="1"/>
        <v>EN4</v>
      </c>
    </row>
    <row r="49" spans="3:3" x14ac:dyDescent="0.25">
      <c r="C49" t="str">
        <f t="shared" si="1"/>
        <v>EN5</v>
      </c>
    </row>
    <row r="50" spans="3:3" x14ac:dyDescent="0.25">
      <c r="C50" t="str">
        <f t="shared" si="1"/>
        <v>EN6</v>
      </c>
    </row>
    <row r="51" spans="3:3" x14ac:dyDescent="0.25">
      <c r="C51" t="str">
        <f t="shared" si="1"/>
        <v>EN7</v>
      </c>
    </row>
    <row r="52" spans="3:3" x14ac:dyDescent="0.25">
      <c r="C52" t="str">
        <f t="shared" si="1"/>
        <v>EN8</v>
      </c>
    </row>
    <row r="53" spans="3:3" x14ac:dyDescent="0.25">
      <c r="C53" t="str">
        <f t="shared" si="1"/>
        <v>EN9</v>
      </c>
    </row>
    <row r="54" spans="3:3" x14ac:dyDescent="0.25">
      <c r="C54" t="str">
        <f t="shared" si="1"/>
        <v>EN10</v>
      </c>
    </row>
    <row r="55" spans="3:3" x14ac:dyDescent="0.25">
      <c r="C55" t="str">
        <f>_xlfn.CONCAT("EN",RIGHT(C54,2)+1)</f>
        <v>EN11</v>
      </c>
    </row>
    <row r="56" spans="3:3" x14ac:dyDescent="0.25">
      <c r="C56" t="str">
        <f t="shared" ref="C56:C75" si="2">_xlfn.CONCAT("EN",RIGHT(C55,2)+1)</f>
        <v>EN12</v>
      </c>
    </row>
    <row r="57" spans="3:3" x14ac:dyDescent="0.25">
      <c r="C57" t="str">
        <f t="shared" si="2"/>
        <v>EN13</v>
      </c>
    </row>
    <row r="58" spans="3:3" x14ac:dyDescent="0.25">
      <c r="C58" t="str">
        <f t="shared" si="2"/>
        <v>EN14</v>
      </c>
    </row>
    <row r="59" spans="3:3" x14ac:dyDescent="0.25">
      <c r="C59" t="str">
        <f t="shared" si="2"/>
        <v>EN15</v>
      </c>
    </row>
    <row r="60" spans="3:3" x14ac:dyDescent="0.25">
      <c r="C60" t="str">
        <f t="shared" si="2"/>
        <v>EN16</v>
      </c>
    </row>
    <row r="61" spans="3:3" x14ac:dyDescent="0.25">
      <c r="C61" t="str">
        <f t="shared" si="2"/>
        <v>EN17</v>
      </c>
    </row>
    <row r="62" spans="3:3" x14ac:dyDescent="0.25">
      <c r="C62" t="str">
        <f t="shared" si="2"/>
        <v>EN18</v>
      </c>
    </row>
    <row r="63" spans="3:3" x14ac:dyDescent="0.25">
      <c r="C63" t="str">
        <f t="shared" si="2"/>
        <v>EN19</v>
      </c>
    </row>
    <row r="64" spans="3:3" x14ac:dyDescent="0.25">
      <c r="C64" t="str">
        <f t="shared" si="2"/>
        <v>EN20</v>
      </c>
    </row>
    <row r="65" spans="3:3" x14ac:dyDescent="0.25">
      <c r="C65" t="str">
        <f t="shared" si="2"/>
        <v>EN21</v>
      </c>
    </row>
    <row r="66" spans="3:3" x14ac:dyDescent="0.25">
      <c r="C66" t="str">
        <f t="shared" si="2"/>
        <v>EN22</v>
      </c>
    </row>
    <row r="67" spans="3:3" x14ac:dyDescent="0.25">
      <c r="C67" t="str">
        <f t="shared" si="2"/>
        <v>EN23</v>
      </c>
    </row>
    <row r="68" spans="3:3" x14ac:dyDescent="0.25">
      <c r="C68" t="str">
        <f t="shared" si="2"/>
        <v>EN24</v>
      </c>
    </row>
    <row r="69" spans="3:3" x14ac:dyDescent="0.25">
      <c r="C69" t="str">
        <f t="shared" si="2"/>
        <v>EN25</v>
      </c>
    </row>
    <row r="70" spans="3:3" x14ac:dyDescent="0.25">
      <c r="C70" t="str">
        <f t="shared" si="2"/>
        <v>EN26</v>
      </c>
    </row>
    <row r="71" spans="3:3" x14ac:dyDescent="0.25">
      <c r="C71" t="str">
        <f t="shared" si="2"/>
        <v>EN27</v>
      </c>
    </row>
    <row r="72" spans="3:3" x14ac:dyDescent="0.25">
      <c r="C72" t="str">
        <f t="shared" si="2"/>
        <v>EN28</v>
      </c>
    </row>
    <row r="73" spans="3:3" x14ac:dyDescent="0.25">
      <c r="C73" t="str">
        <f t="shared" si="2"/>
        <v>EN29</v>
      </c>
    </row>
    <row r="74" spans="3:3" x14ac:dyDescent="0.25">
      <c r="C74" t="str">
        <f t="shared" si="2"/>
        <v>EN30</v>
      </c>
    </row>
    <row r="75" spans="3:3" x14ac:dyDescent="0.25">
      <c r="C75" t="str">
        <f t="shared" si="2"/>
        <v>EN31</v>
      </c>
    </row>
    <row r="81" spans="3:3" x14ac:dyDescent="0.25">
      <c r="C81" t="s">
        <v>15</v>
      </c>
    </row>
    <row r="82" spans="3:3" x14ac:dyDescent="0.25">
      <c r="C82" t="s">
        <v>16</v>
      </c>
    </row>
    <row r="83" spans="3:3" x14ac:dyDescent="0.25">
      <c r="C83" t="s">
        <v>17</v>
      </c>
    </row>
    <row r="84" spans="3:3" x14ac:dyDescent="0.25">
      <c r="C84" t="s">
        <v>18</v>
      </c>
    </row>
    <row r="85" spans="3:3" x14ac:dyDescent="0.25">
      <c r="C85" t="s">
        <v>19</v>
      </c>
    </row>
    <row r="86" spans="3:3" x14ac:dyDescent="0.25">
      <c r="C86" t="s">
        <v>20</v>
      </c>
    </row>
    <row r="88" spans="3:3" x14ac:dyDescent="0.25">
      <c r="C88" s="1" t="s">
        <v>13</v>
      </c>
    </row>
    <row r="89" spans="3:3" x14ac:dyDescent="0.25">
      <c r="C89" t="s">
        <v>10</v>
      </c>
    </row>
    <row r="90" spans="3:3" x14ac:dyDescent="0.25">
      <c r="C90" s="2" t="s">
        <v>14</v>
      </c>
    </row>
  </sheetData>
  <mergeCells count="1">
    <mergeCell ref="D29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968B-F291-4B7B-82A2-C039BEBF5DA0}">
  <dimension ref="A1:AX177"/>
  <sheetViews>
    <sheetView tabSelected="1" workbookViewId="0">
      <selection activeCell="A119" sqref="A119:A120"/>
    </sheetView>
  </sheetViews>
  <sheetFormatPr defaultRowHeight="15" x14ac:dyDescent="0.25"/>
  <sheetData>
    <row r="1" spans="1:50" x14ac:dyDescent="0.25">
      <c r="A1" t="s">
        <v>994</v>
      </c>
      <c r="B1" t="s">
        <v>993</v>
      </c>
      <c r="C1" t="s">
        <v>165</v>
      </c>
      <c r="D1" t="s">
        <v>166</v>
      </c>
      <c r="E1" t="s">
        <v>167</v>
      </c>
      <c r="F1" s="18" t="s">
        <v>168</v>
      </c>
      <c r="G1" s="18" t="s">
        <v>152</v>
      </c>
      <c r="H1" s="18" t="s">
        <v>169</v>
      </c>
      <c r="I1" s="18" t="s">
        <v>170</v>
      </c>
      <c r="J1" s="18" t="s">
        <v>171</v>
      </c>
      <c r="K1" s="18" t="s">
        <v>172</v>
      </c>
      <c r="L1" s="18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  <c r="AD1" t="s">
        <v>191</v>
      </c>
      <c r="AE1" t="s">
        <v>192</v>
      </c>
      <c r="AF1" t="s">
        <v>193</v>
      </c>
      <c r="AG1" t="s">
        <v>194</v>
      </c>
      <c r="AH1" t="s">
        <v>195</v>
      </c>
      <c r="AI1" t="s">
        <v>196</v>
      </c>
      <c r="AJ1" t="s">
        <v>197</v>
      </c>
      <c r="AK1" t="s">
        <v>198</v>
      </c>
      <c r="AL1" t="s">
        <v>199</v>
      </c>
      <c r="AM1" t="s">
        <v>200</v>
      </c>
      <c r="AN1" t="s">
        <v>201</v>
      </c>
      <c r="AO1" t="s">
        <v>202</v>
      </c>
      <c r="AP1" t="s">
        <v>203</v>
      </c>
      <c r="AQ1" t="s">
        <v>204</v>
      </c>
      <c r="AR1" t="s">
        <v>205</v>
      </c>
      <c r="AS1" t="s">
        <v>206</v>
      </c>
      <c r="AT1" t="s">
        <v>207</v>
      </c>
      <c r="AU1" t="s">
        <v>208</v>
      </c>
      <c r="AV1" t="s">
        <v>209</v>
      </c>
      <c r="AW1" t="s">
        <v>210</v>
      </c>
      <c r="AX1" t="s">
        <v>211</v>
      </c>
    </row>
    <row r="2" spans="1:50" x14ac:dyDescent="0.25">
      <c r="C2" s="19"/>
      <c r="D2" s="19"/>
      <c r="E2" s="19"/>
      <c r="F2" s="20" t="s">
        <v>212</v>
      </c>
      <c r="G2" s="20"/>
      <c r="H2" s="20"/>
      <c r="I2" s="20"/>
      <c r="J2" s="20"/>
      <c r="K2" s="20"/>
      <c r="L2" s="20"/>
      <c r="M2" s="19">
        <v>155</v>
      </c>
      <c r="N2" s="19" t="s">
        <v>213</v>
      </c>
      <c r="O2" s="19" t="s">
        <v>212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 t="s">
        <v>214</v>
      </c>
      <c r="AT2" s="19" t="s">
        <v>215</v>
      </c>
      <c r="AU2" s="19"/>
      <c r="AV2" s="19"/>
      <c r="AW2" s="19"/>
      <c r="AX2" s="19"/>
    </row>
    <row r="3" spans="1:50" x14ac:dyDescent="0.25">
      <c r="C3" s="19"/>
      <c r="D3" s="19"/>
      <c r="E3" s="19"/>
      <c r="F3" s="20" t="s">
        <v>216</v>
      </c>
      <c r="G3" s="20"/>
      <c r="H3" s="20"/>
      <c r="I3" s="20"/>
      <c r="J3" s="20"/>
      <c r="K3" s="20"/>
      <c r="L3" s="20"/>
      <c r="M3" s="19">
        <v>26</v>
      </c>
      <c r="N3" s="19" t="s">
        <v>217</v>
      </c>
      <c r="O3" s="19" t="s">
        <v>218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 t="s">
        <v>214</v>
      </c>
      <c r="AT3" s="19" t="s">
        <v>215</v>
      </c>
      <c r="AU3" s="19"/>
      <c r="AV3" s="19"/>
      <c r="AW3" s="19"/>
      <c r="AX3" s="19"/>
    </row>
    <row r="4" spans="1:50" x14ac:dyDescent="0.25">
      <c r="C4" s="19"/>
      <c r="D4" s="19"/>
      <c r="E4" s="19"/>
      <c r="F4" s="20" t="s">
        <v>219</v>
      </c>
      <c r="G4" s="20"/>
      <c r="H4" s="20"/>
      <c r="I4" s="20"/>
      <c r="J4" s="20"/>
      <c r="K4" s="20"/>
      <c r="L4" s="20"/>
      <c r="M4" s="19">
        <v>156</v>
      </c>
      <c r="N4" s="19" t="s">
        <v>220</v>
      </c>
      <c r="O4" s="19" t="s">
        <v>219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 t="s">
        <v>214</v>
      </c>
      <c r="AT4" s="19" t="s">
        <v>215</v>
      </c>
      <c r="AU4" s="19"/>
      <c r="AV4" s="19"/>
      <c r="AW4" s="19"/>
      <c r="AX4" s="19"/>
    </row>
    <row r="5" spans="1:50" x14ac:dyDescent="0.25">
      <c r="C5" s="19"/>
      <c r="D5" s="19"/>
      <c r="E5" s="19"/>
      <c r="F5" s="20" t="s">
        <v>221</v>
      </c>
      <c r="G5" s="20"/>
      <c r="H5" s="20"/>
      <c r="I5" s="20"/>
      <c r="J5" s="20"/>
      <c r="K5" s="20"/>
      <c r="L5" s="20"/>
      <c r="M5" s="19">
        <v>28</v>
      </c>
      <c r="N5" s="19" t="s">
        <v>222</v>
      </c>
      <c r="O5" s="19" t="s">
        <v>223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 t="s">
        <v>214</v>
      </c>
      <c r="AT5" s="19" t="s">
        <v>215</v>
      </c>
      <c r="AU5" s="19"/>
      <c r="AV5" s="19"/>
      <c r="AW5" s="19"/>
      <c r="AX5" s="19"/>
    </row>
    <row r="6" spans="1:50" x14ac:dyDescent="0.25">
      <c r="A6" t="str">
        <f>DEC2HEX(B6,2)</f>
        <v>01</v>
      </c>
      <c r="B6">
        <v>1</v>
      </c>
      <c r="C6" s="28" t="s">
        <v>0</v>
      </c>
      <c r="F6" s="18" t="s">
        <v>42</v>
      </c>
      <c r="G6" s="21" t="s">
        <v>26</v>
      </c>
      <c r="H6" s="18" t="s">
        <v>152</v>
      </c>
      <c r="I6" s="18" t="s">
        <v>152</v>
      </c>
      <c r="J6" s="18" t="s">
        <v>26</v>
      </c>
      <c r="K6" s="18"/>
      <c r="L6" s="18" t="s">
        <v>26</v>
      </c>
      <c r="M6">
        <v>169</v>
      </c>
      <c r="N6" t="s">
        <v>224</v>
      </c>
      <c r="P6" t="s">
        <v>225</v>
      </c>
      <c r="W6" t="s">
        <v>56</v>
      </c>
      <c r="AN6" t="s">
        <v>226</v>
      </c>
      <c r="AP6" t="s">
        <v>227</v>
      </c>
      <c r="AQ6" t="s">
        <v>228</v>
      </c>
    </row>
    <row r="7" spans="1:50" x14ac:dyDescent="0.25">
      <c r="A7" t="str">
        <f t="shared" ref="A7:A34" si="0">DEC2HEX(B7,2)</f>
        <v>02</v>
      </c>
      <c r="B7">
        <v>2</v>
      </c>
      <c r="C7" s="28" t="s">
        <v>1</v>
      </c>
      <c r="F7" s="18" t="s">
        <v>43</v>
      </c>
      <c r="G7" s="21" t="s">
        <v>26</v>
      </c>
      <c r="H7" s="18" t="s">
        <v>152</v>
      </c>
      <c r="I7" s="18" t="s">
        <v>152</v>
      </c>
      <c r="J7" s="18" t="s">
        <v>26</v>
      </c>
      <c r="K7" s="18"/>
      <c r="L7" s="18" t="s">
        <v>26</v>
      </c>
      <c r="M7">
        <v>168</v>
      </c>
      <c r="N7" t="s">
        <v>229</v>
      </c>
      <c r="P7" t="s">
        <v>230</v>
      </c>
      <c r="W7" t="s">
        <v>57</v>
      </c>
      <c r="AN7" t="s">
        <v>231</v>
      </c>
      <c r="AP7" t="s">
        <v>227</v>
      </c>
      <c r="AQ7" t="s">
        <v>232</v>
      </c>
    </row>
    <row r="8" spans="1:50" x14ac:dyDescent="0.25">
      <c r="A8" t="str">
        <f t="shared" si="0"/>
        <v>03</v>
      </c>
      <c r="B8">
        <v>3</v>
      </c>
      <c r="C8" s="28" t="s">
        <v>2</v>
      </c>
      <c r="F8" s="18" t="s">
        <v>44</v>
      </c>
      <c r="G8" s="21" t="s">
        <v>26</v>
      </c>
      <c r="H8" s="18" t="s">
        <v>152</v>
      </c>
      <c r="I8" s="18" t="s">
        <v>152</v>
      </c>
      <c r="J8" s="18" t="s">
        <v>26</v>
      </c>
      <c r="K8" s="18"/>
      <c r="L8" s="18" t="s">
        <v>26</v>
      </c>
      <c r="M8">
        <v>167</v>
      </c>
      <c r="N8" t="s">
        <v>233</v>
      </c>
      <c r="P8" t="s">
        <v>234</v>
      </c>
      <c r="W8" t="s">
        <v>58</v>
      </c>
      <c r="AN8" t="s">
        <v>235</v>
      </c>
      <c r="AP8" t="s">
        <v>227</v>
      </c>
      <c r="AQ8" t="s">
        <v>236</v>
      </c>
    </row>
    <row r="9" spans="1:50" x14ac:dyDescent="0.25">
      <c r="A9" t="str">
        <f t="shared" si="0"/>
        <v>04</v>
      </c>
      <c r="B9">
        <v>4</v>
      </c>
      <c r="C9" s="28" t="s">
        <v>3</v>
      </c>
      <c r="F9" s="18" t="s">
        <v>45</v>
      </c>
      <c r="G9" s="21" t="s">
        <v>26</v>
      </c>
      <c r="H9" s="18" t="s">
        <v>152</v>
      </c>
      <c r="I9" s="18" t="s">
        <v>152</v>
      </c>
      <c r="J9" s="18"/>
      <c r="K9" s="18"/>
      <c r="L9" s="18" t="s">
        <v>26</v>
      </c>
      <c r="M9">
        <v>166</v>
      </c>
      <c r="N9" t="s">
        <v>237</v>
      </c>
      <c r="W9" t="s">
        <v>55</v>
      </c>
      <c r="AN9" t="s">
        <v>238</v>
      </c>
      <c r="AP9" t="s">
        <v>227</v>
      </c>
      <c r="AQ9" t="s">
        <v>239</v>
      </c>
      <c r="AS9" t="s">
        <v>214</v>
      </c>
      <c r="AV9" t="s">
        <v>240</v>
      </c>
    </row>
    <row r="10" spans="1:50" x14ac:dyDescent="0.25">
      <c r="A10" t="str">
        <f t="shared" si="0"/>
        <v>05</v>
      </c>
      <c r="B10">
        <v>5</v>
      </c>
      <c r="C10" s="6" t="s">
        <v>4</v>
      </c>
      <c r="D10" t="s">
        <v>47</v>
      </c>
      <c r="F10" s="18" t="s">
        <v>46</v>
      </c>
      <c r="G10" s="21" t="s">
        <v>241</v>
      </c>
      <c r="H10" s="18" t="s">
        <v>152</v>
      </c>
      <c r="I10" s="18" t="s">
        <v>152</v>
      </c>
      <c r="J10" s="18" t="s">
        <v>26</v>
      </c>
      <c r="K10" s="18"/>
      <c r="L10" s="18" t="s">
        <v>26</v>
      </c>
      <c r="M10">
        <v>165</v>
      </c>
      <c r="N10" t="s">
        <v>242</v>
      </c>
      <c r="P10" s="11" t="s">
        <v>243</v>
      </c>
      <c r="W10" t="s">
        <v>59</v>
      </c>
      <c r="AN10" t="s">
        <v>47</v>
      </c>
      <c r="AO10" t="s">
        <v>243</v>
      </c>
      <c r="AP10" t="s">
        <v>244</v>
      </c>
      <c r="AQ10" t="s">
        <v>245</v>
      </c>
    </row>
    <row r="11" spans="1:50" x14ac:dyDescent="0.25">
      <c r="A11" t="str">
        <f t="shared" si="0"/>
        <v>06</v>
      </c>
      <c r="B11">
        <v>6</v>
      </c>
      <c r="C11" s="6" t="s">
        <v>5</v>
      </c>
      <c r="D11" t="s">
        <v>48</v>
      </c>
      <c r="F11" s="18" t="s">
        <v>49</v>
      </c>
      <c r="G11" s="21" t="s">
        <v>241</v>
      </c>
      <c r="H11" s="18" t="s">
        <v>152</v>
      </c>
      <c r="I11" s="18" t="s">
        <v>152</v>
      </c>
      <c r="J11" s="18" t="s">
        <v>26</v>
      </c>
      <c r="K11" s="18"/>
      <c r="L11" s="18" t="s">
        <v>26</v>
      </c>
      <c r="M11">
        <v>164</v>
      </c>
      <c r="N11" t="s">
        <v>242</v>
      </c>
      <c r="P11" s="11" t="s">
        <v>146</v>
      </c>
      <c r="W11" t="s">
        <v>60</v>
      </c>
      <c r="AN11" t="s">
        <v>48</v>
      </c>
      <c r="AO11" t="s">
        <v>146</v>
      </c>
      <c r="AP11" t="s">
        <v>244</v>
      </c>
      <c r="AQ11" t="s">
        <v>246</v>
      </c>
    </row>
    <row r="12" spans="1:50" x14ac:dyDescent="0.25">
      <c r="A12" t="str">
        <f t="shared" si="0"/>
        <v>07</v>
      </c>
      <c r="B12">
        <v>7</v>
      </c>
      <c r="C12" s="6" t="s">
        <v>6</v>
      </c>
      <c r="D12" t="s">
        <v>247</v>
      </c>
      <c r="E12" s="22" t="s">
        <v>248</v>
      </c>
      <c r="F12" s="23" t="s">
        <v>50</v>
      </c>
      <c r="G12" s="21" t="s">
        <v>26</v>
      </c>
      <c r="H12" s="18" t="s">
        <v>152</v>
      </c>
      <c r="I12" s="18" t="s">
        <v>152</v>
      </c>
      <c r="J12" s="18" t="s">
        <v>26</v>
      </c>
      <c r="K12" s="18"/>
      <c r="L12" s="18" t="s">
        <v>26</v>
      </c>
      <c r="M12">
        <v>163</v>
      </c>
      <c r="N12" t="s">
        <v>242</v>
      </c>
      <c r="P12" t="s">
        <v>147</v>
      </c>
      <c r="W12" t="s">
        <v>61</v>
      </c>
      <c r="AN12" t="s">
        <v>249</v>
      </c>
      <c r="AO12" t="s">
        <v>240</v>
      </c>
      <c r="AP12" t="s">
        <v>250</v>
      </c>
      <c r="AQ12" t="s">
        <v>251</v>
      </c>
    </row>
    <row r="13" spans="1:50" x14ac:dyDescent="0.25">
      <c r="A13" t="str">
        <f t="shared" si="0"/>
        <v>08</v>
      </c>
      <c r="B13">
        <v>8</v>
      </c>
      <c r="C13" s="6" t="s">
        <v>7</v>
      </c>
      <c r="D13" t="s">
        <v>252</v>
      </c>
      <c r="E13" s="22" t="s">
        <v>253</v>
      </c>
      <c r="F13" s="23" t="s">
        <v>51</v>
      </c>
      <c r="G13" s="21" t="s">
        <v>26</v>
      </c>
      <c r="H13" s="18" t="s">
        <v>152</v>
      </c>
      <c r="I13" s="18" t="s">
        <v>152</v>
      </c>
      <c r="J13" s="18"/>
      <c r="K13" s="18"/>
      <c r="L13" s="18" t="s">
        <v>26</v>
      </c>
      <c r="M13">
        <v>162</v>
      </c>
      <c r="N13" t="s">
        <v>242</v>
      </c>
      <c r="W13" t="s">
        <v>62</v>
      </c>
      <c r="AN13" t="s">
        <v>254</v>
      </c>
      <c r="AP13" t="s">
        <v>250</v>
      </c>
      <c r="AQ13" t="s">
        <v>255</v>
      </c>
      <c r="AS13" t="s">
        <v>214</v>
      </c>
      <c r="AW13" t="s">
        <v>256</v>
      </c>
    </row>
    <row r="14" spans="1:50" x14ac:dyDescent="0.25">
      <c r="A14" t="str">
        <f t="shared" si="0"/>
        <v>09</v>
      </c>
      <c r="B14">
        <v>9</v>
      </c>
      <c r="C14" s="6" t="s">
        <v>8</v>
      </c>
      <c r="D14" t="s">
        <v>257</v>
      </c>
      <c r="E14" s="22" t="s">
        <v>258</v>
      </c>
      <c r="F14" s="23" t="s">
        <v>52</v>
      </c>
      <c r="G14" s="21" t="s">
        <v>26</v>
      </c>
      <c r="H14" s="18" t="s">
        <v>152</v>
      </c>
      <c r="I14" s="18" t="s">
        <v>152</v>
      </c>
      <c r="J14" s="18" t="s">
        <v>26</v>
      </c>
      <c r="K14" s="18"/>
      <c r="L14" s="18" t="s">
        <v>26</v>
      </c>
      <c r="M14">
        <v>161</v>
      </c>
      <c r="N14" t="s">
        <v>242</v>
      </c>
      <c r="P14" t="s">
        <v>259</v>
      </c>
      <c r="W14" t="s">
        <v>63</v>
      </c>
      <c r="AN14" t="s">
        <v>260</v>
      </c>
      <c r="AO14" t="s">
        <v>240</v>
      </c>
      <c r="AP14" t="s">
        <v>250</v>
      </c>
      <c r="AQ14" t="s">
        <v>261</v>
      </c>
    </row>
    <row r="15" spans="1:50" x14ac:dyDescent="0.25">
      <c r="A15" t="str">
        <f t="shared" si="0"/>
        <v>0A</v>
      </c>
      <c r="B15">
        <v>10</v>
      </c>
      <c r="C15" s="28" t="s">
        <v>27</v>
      </c>
      <c r="F15" s="18" t="s">
        <v>53</v>
      </c>
      <c r="G15" s="21" t="s">
        <v>26</v>
      </c>
      <c r="H15" s="18"/>
      <c r="I15" s="18"/>
      <c r="J15" s="18" t="s">
        <v>26</v>
      </c>
      <c r="K15" s="18"/>
      <c r="L15" s="18"/>
      <c r="M15">
        <v>160</v>
      </c>
      <c r="P15" t="s">
        <v>262</v>
      </c>
      <c r="W15" t="s">
        <v>64</v>
      </c>
      <c r="AP15" t="s">
        <v>263</v>
      </c>
      <c r="AQ15" t="s">
        <v>264</v>
      </c>
    </row>
    <row r="16" spans="1:50" x14ac:dyDescent="0.25">
      <c r="A16" t="str">
        <f t="shared" si="0"/>
        <v>0B</v>
      </c>
      <c r="B16">
        <v>11</v>
      </c>
      <c r="C16" s="28" t="s">
        <v>28</v>
      </c>
      <c r="F16" s="18" t="s">
        <v>54</v>
      </c>
      <c r="G16" s="21" t="s">
        <v>26</v>
      </c>
      <c r="H16" s="18"/>
      <c r="I16" s="18"/>
      <c r="J16" s="18" t="s">
        <v>26</v>
      </c>
      <c r="K16" s="18"/>
      <c r="L16" s="18"/>
      <c r="M16">
        <v>159</v>
      </c>
      <c r="P16" t="s">
        <v>148</v>
      </c>
      <c r="W16" t="s">
        <v>65</v>
      </c>
      <c r="AP16" t="s">
        <v>263</v>
      </c>
      <c r="AQ16" t="s">
        <v>265</v>
      </c>
    </row>
    <row r="17" spans="1:50" x14ac:dyDescent="0.25">
      <c r="A17" t="str">
        <f t="shared" si="0"/>
        <v>0C</v>
      </c>
      <c r="B17">
        <v>12</v>
      </c>
      <c r="C17" s="28" t="s">
        <v>29</v>
      </c>
      <c r="F17" s="18" t="s">
        <v>66</v>
      </c>
      <c r="G17" s="21" t="s">
        <v>26</v>
      </c>
      <c r="H17" s="18"/>
      <c r="I17" s="18"/>
      <c r="J17" s="18"/>
      <c r="K17" s="18"/>
      <c r="L17" s="18"/>
      <c r="M17">
        <v>152</v>
      </c>
      <c r="N17" t="s">
        <v>266</v>
      </c>
      <c r="W17" t="s">
        <v>67</v>
      </c>
      <c r="AM17" t="s">
        <v>267</v>
      </c>
      <c r="AN17" t="s">
        <v>268</v>
      </c>
      <c r="AP17" t="s">
        <v>227</v>
      </c>
      <c r="AQ17" t="s">
        <v>269</v>
      </c>
    </row>
    <row r="18" spans="1:50" x14ac:dyDescent="0.25">
      <c r="A18" t="str">
        <f t="shared" si="0"/>
        <v>0D</v>
      </c>
      <c r="B18">
        <v>13</v>
      </c>
      <c r="C18" s="28" t="s">
        <v>30</v>
      </c>
      <c r="F18" s="18" t="s">
        <v>68</v>
      </c>
      <c r="G18" s="21" t="s">
        <v>26</v>
      </c>
      <c r="H18" s="18"/>
      <c r="I18" s="18"/>
      <c r="J18" s="18" t="s">
        <v>26</v>
      </c>
      <c r="K18" s="18"/>
      <c r="L18" s="18"/>
      <c r="M18">
        <v>151</v>
      </c>
      <c r="N18" t="s">
        <v>270</v>
      </c>
      <c r="P18" t="s">
        <v>262</v>
      </c>
      <c r="W18" t="s">
        <v>69</v>
      </c>
      <c r="AM18" t="s">
        <v>271</v>
      </c>
      <c r="AN18" t="s">
        <v>272</v>
      </c>
      <c r="AP18" t="s">
        <v>227</v>
      </c>
      <c r="AQ18" t="s">
        <v>273</v>
      </c>
    </row>
    <row r="19" spans="1:50" x14ac:dyDescent="0.25">
      <c r="A19" t="str">
        <f t="shared" si="0"/>
        <v>21</v>
      </c>
      <c r="B19">
        <v>33</v>
      </c>
      <c r="C19" s="28" t="s">
        <v>12</v>
      </c>
      <c r="F19" s="18" t="s">
        <v>110</v>
      </c>
      <c r="G19" s="18"/>
      <c r="H19" s="18" t="s">
        <v>241</v>
      </c>
      <c r="I19" s="21" t="s">
        <v>241</v>
      </c>
      <c r="J19" s="18" t="s">
        <v>26</v>
      </c>
      <c r="K19" s="18"/>
      <c r="L19" s="18"/>
      <c r="M19">
        <v>132</v>
      </c>
      <c r="N19" t="s">
        <v>448</v>
      </c>
      <c r="P19" t="s">
        <v>449</v>
      </c>
      <c r="S19" t="s">
        <v>450</v>
      </c>
      <c r="U19" t="s">
        <v>451</v>
      </c>
      <c r="V19" t="s">
        <v>452</v>
      </c>
      <c r="Y19" t="s">
        <v>280</v>
      </c>
      <c r="AC19" t="s">
        <v>453</v>
      </c>
      <c r="AJ19" t="s">
        <v>454</v>
      </c>
      <c r="AK19" t="s">
        <v>455</v>
      </c>
      <c r="AL19" t="s">
        <v>456</v>
      </c>
      <c r="AN19" t="s">
        <v>457</v>
      </c>
      <c r="AO19" t="s">
        <v>240</v>
      </c>
      <c r="AP19" t="s">
        <v>285</v>
      </c>
      <c r="AQ19" t="s">
        <v>458</v>
      </c>
    </row>
    <row r="20" spans="1:50" x14ac:dyDescent="0.25">
      <c r="A20" t="str">
        <f t="shared" si="0"/>
        <v>22</v>
      </c>
      <c r="B20">
        <v>34</v>
      </c>
      <c r="C20" s="28" t="s">
        <v>981</v>
      </c>
      <c r="F20" s="18" t="s">
        <v>105</v>
      </c>
      <c r="G20" s="18"/>
      <c r="H20" s="18" t="s">
        <v>241</v>
      </c>
      <c r="I20" s="21" t="s">
        <v>241</v>
      </c>
      <c r="J20" s="18" t="s">
        <v>26</v>
      </c>
      <c r="K20" s="18"/>
      <c r="L20" s="18"/>
      <c r="M20">
        <v>131</v>
      </c>
      <c r="N20" t="s">
        <v>377</v>
      </c>
      <c r="P20" t="s">
        <v>378</v>
      </c>
      <c r="S20" t="s">
        <v>379</v>
      </c>
      <c r="U20" t="s">
        <v>380</v>
      </c>
      <c r="V20" t="s">
        <v>381</v>
      </c>
      <c r="Y20" t="s">
        <v>382</v>
      </c>
      <c r="AC20" t="s">
        <v>383</v>
      </c>
      <c r="AJ20" t="s">
        <v>384</v>
      </c>
      <c r="AK20" t="s">
        <v>385</v>
      </c>
      <c r="AL20" t="s">
        <v>386</v>
      </c>
      <c r="AN20" t="s">
        <v>387</v>
      </c>
      <c r="AO20" t="s">
        <v>240</v>
      </c>
      <c r="AP20" t="s">
        <v>285</v>
      </c>
      <c r="AQ20" t="s">
        <v>388</v>
      </c>
    </row>
    <row r="21" spans="1:50" x14ac:dyDescent="0.25">
      <c r="A21" t="str">
        <f t="shared" si="0"/>
        <v>23</v>
      </c>
      <c r="B21">
        <v>35</v>
      </c>
      <c r="C21" s="6" t="s">
        <v>982</v>
      </c>
      <c r="D21" t="s">
        <v>274</v>
      </c>
      <c r="F21" s="18" t="s">
        <v>301</v>
      </c>
      <c r="G21" s="18" t="s">
        <v>302</v>
      </c>
      <c r="H21" s="18" t="s">
        <v>241</v>
      </c>
      <c r="I21" s="21" t="s">
        <v>241</v>
      </c>
      <c r="J21" s="18"/>
      <c r="K21" s="18"/>
      <c r="L21" s="18"/>
      <c r="M21">
        <v>130</v>
      </c>
      <c r="N21" t="s">
        <v>303</v>
      </c>
      <c r="S21" t="s">
        <v>304</v>
      </c>
      <c r="U21" t="s">
        <v>305</v>
      </c>
      <c r="V21" t="s">
        <v>306</v>
      </c>
      <c r="W21" t="s">
        <v>307</v>
      </c>
      <c r="X21" t="s">
        <v>308</v>
      </c>
      <c r="AC21" t="s">
        <v>309</v>
      </c>
      <c r="AI21" t="s">
        <v>310</v>
      </c>
      <c r="AJ21" t="s">
        <v>311</v>
      </c>
      <c r="AK21" t="s">
        <v>312</v>
      </c>
      <c r="AL21" t="s">
        <v>313</v>
      </c>
      <c r="AN21" t="s">
        <v>314</v>
      </c>
      <c r="AP21" t="s">
        <v>285</v>
      </c>
      <c r="AQ21" t="s">
        <v>315</v>
      </c>
    </row>
    <row r="22" spans="1:50" x14ac:dyDescent="0.25">
      <c r="A22" t="str">
        <f t="shared" si="0"/>
        <v>24</v>
      </c>
      <c r="B22">
        <v>36</v>
      </c>
      <c r="C22" s="6" t="s">
        <v>983</v>
      </c>
      <c r="D22" t="s">
        <v>274</v>
      </c>
      <c r="F22" s="18" t="s">
        <v>316</v>
      </c>
      <c r="G22" s="18"/>
      <c r="H22" s="18" t="s">
        <v>241</v>
      </c>
      <c r="I22" s="21" t="s">
        <v>241</v>
      </c>
      <c r="J22" s="18"/>
      <c r="K22" s="18"/>
      <c r="L22" s="18"/>
      <c r="M22">
        <v>129</v>
      </c>
      <c r="N22" t="s">
        <v>317</v>
      </c>
      <c r="S22" t="s">
        <v>318</v>
      </c>
      <c r="U22" t="s">
        <v>319</v>
      </c>
      <c r="V22" t="s">
        <v>320</v>
      </c>
      <c r="X22" t="s">
        <v>321</v>
      </c>
      <c r="AC22" t="s">
        <v>322</v>
      </c>
      <c r="AI22" t="s">
        <v>323</v>
      </c>
      <c r="AJ22" t="s">
        <v>324</v>
      </c>
      <c r="AK22" t="s">
        <v>325</v>
      </c>
      <c r="AL22" t="s">
        <v>326</v>
      </c>
      <c r="AN22" t="s">
        <v>327</v>
      </c>
      <c r="AP22" t="s">
        <v>285</v>
      </c>
      <c r="AQ22" t="s">
        <v>328</v>
      </c>
    </row>
    <row r="23" spans="1:50" x14ac:dyDescent="0.25">
      <c r="A23" t="str">
        <f t="shared" si="0"/>
        <v>25</v>
      </c>
      <c r="B23">
        <v>37</v>
      </c>
      <c r="C23" s="28" t="s">
        <v>984</v>
      </c>
      <c r="F23" s="18" t="s">
        <v>106</v>
      </c>
      <c r="G23" s="18"/>
      <c r="H23" s="18" t="s">
        <v>241</v>
      </c>
      <c r="I23" s="21" t="s">
        <v>241</v>
      </c>
      <c r="J23" s="18" t="s">
        <v>26</v>
      </c>
      <c r="K23" s="18"/>
      <c r="L23" s="18"/>
      <c r="M23">
        <v>128</v>
      </c>
      <c r="N23" t="s">
        <v>390</v>
      </c>
      <c r="P23" t="s">
        <v>378</v>
      </c>
      <c r="S23" t="s">
        <v>391</v>
      </c>
      <c r="U23" t="s">
        <v>392</v>
      </c>
      <c r="V23" t="s">
        <v>393</v>
      </c>
      <c r="Y23" t="s">
        <v>382</v>
      </c>
      <c r="AC23" t="s">
        <v>394</v>
      </c>
      <c r="AJ23" t="s">
        <v>395</v>
      </c>
      <c r="AK23" t="s">
        <v>396</v>
      </c>
      <c r="AL23" t="s">
        <v>397</v>
      </c>
      <c r="AN23" t="s">
        <v>398</v>
      </c>
      <c r="AO23" t="s">
        <v>240</v>
      </c>
      <c r="AP23" t="s">
        <v>285</v>
      </c>
      <c r="AQ23" t="s">
        <v>399</v>
      </c>
    </row>
    <row r="24" spans="1:50" x14ac:dyDescent="0.25">
      <c r="A24" t="str">
        <f t="shared" si="0"/>
        <v>26</v>
      </c>
      <c r="B24">
        <v>38</v>
      </c>
      <c r="C24" s="6" t="s">
        <v>985</v>
      </c>
      <c r="D24" t="s">
        <v>274</v>
      </c>
      <c r="F24" s="18" t="s">
        <v>99</v>
      </c>
      <c r="G24" s="18"/>
      <c r="H24" s="18" t="s">
        <v>241</v>
      </c>
      <c r="I24" s="21" t="s">
        <v>241</v>
      </c>
      <c r="J24" s="18" t="s">
        <v>26</v>
      </c>
      <c r="K24" s="18"/>
      <c r="L24" s="18"/>
      <c r="M24">
        <v>127</v>
      </c>
      <c r="N24" t="s">
        <v>275</v>
      </c>
      <c r="P24" t="s">
        <v>276</v>
      </c>
      <c r="S24" t="s">
        <v>277</v>
      </c>
      <c r="U24" t="s">
        <v>278</v>
      </c>
      <c r="V24" t="s">
        <v>279</v>
      </c>
      <c r="Y24" t="s">
        <v>280</v>
      </c>
      <c r="AC24" t="s">
        <v>281</v>
      </c>
      <c r="AK24" t="s">
        <v>282</v>
      </c>
      <c r="AL24" t="s">
        <v>283</v>
      </c>
      <c r="AN24" t="s">
        <v>284</v>
      </c>
      <c r="AO24" t="s">
        <v>240</v>
      </c>
      <c r="AP24" t="s">
        <v>285</v>
      </c>
      <c r="AQ24" t="s">
        <v>286</v>
      </c>
    </row>
    <row r="25" spans="1:50" x14ac:dyDescent="0.25">
      <c r="A25" t="str">
        <f t="shared" si="0"/>
        <v>27</v>
      </c>
      <c r="B25">
        <v>39</v>
      </c>
      <c r="C25" s="6" t="s">
        <v>986</v>
      </c>
      <c r="D25" t="s">
        <v>274</v>
      </c>
      <c r="F25" s="18" t="s">
        <v>339</v>
      </c>
      <c r="G25" s="18"/>
      <c r="H25" s="18" t="s">
        <v>241</v>
      </c>
      <c r="I25" s="21" t="s">
        <v>241</v>
      </c>
      <c r="J25" s="18"/>
      <c r="K25" s="18"/>
      <c r="L25" s="18"/>
      <c r="M25">
        <v>126</v>
      </c>
      <c r="N25" t="s">
        <v>340</v>
      </c>
      <c r="S25" t="s">
        <v>341</v>
      </c>
      <c r="U25" t="s">
        <v>342</v>
      </c>
      <c r="V25" t="s">
        <v>343</v>
      </c>
      <c r="AC25" t="s">
        <v>344</v>
      </c>
      <c r="AK25" t="s">
        <v>345</v>
      </c>
      <c r="AL25" t="s">
        <v>346</v>
      </c>
      <c r="AN25" t="s">
        <v>347</v>
      </c>
      <c r="AP25" t="s">
        <v>285</v>
      </c>
      <c r="AQ25" t="s">
        <v>348</v>
      </c>
    </row>
    <row r="26" spans="1:50" x14ac:dyDescent="0.25">
      <c r="A26" t="str">
        <f t="shared" si="0"/>
        <v>28</v>
      </c>
      <c r="B26">
        <v>40</v>
      </c>
      <c r="C26" s="6" t="s">
        <v>987</v>
      </c>
      <c r="D26" t="s">
        <v>274</v>
      </c>
      <c r="F26" s="18" t="s">
        <v>349</v>
      </c>
      <c r="G26" s="18"/>
      <c r="H26" s="18" t="s">
        <v>241</v>
      </c>
      <c r="I26" s="21" t="s">
        <v>241</v>
      </c>
      <c r="J26" s="18"/>
      <c r="K26" s="18"/>
      <c r="L26" s="18"/>
      <c r="M26">
        <v>125</v>
      </c>
      <c r="N26" t="s">
        <v>350</v>
      </c>
      <c r="S26" t="s">
        <v>351</v>
      </c>
      <c r="U26" t="s">
        <v>352</v>
      </c>
      <c r="V26" t="s">
        <v>353</v>
      </c>
      <c r="AK26" t="s">
        <v>354</v>
      </c>
      <c r="AL26" t="s">
        <v>355</v>
      </c>
      <c r="AN26" t="s">
        <v>356</v>
      </c>
      <c r="AP26" t="s">
        <v>285</v>
      </c>
      <c r="AQ26" t="s">
        <v>357</v>
      </c>
    </row>
    <row r="27" spans="1:50" x14ac:dyDescent="0.25">
      <c r="A27" t="str">
        <f t="shared" si="0"/>
        <v>29</v>
      </c>
      <c r="B27">
        <v>41</v>
      </c>
      <c r="C27" t="s">
        <v>358</v>
      </c>
      <c r="F27" s="24" t="s">
        <v>359</v>
      </c>
      <c r="G27" s="24"/>
      <c r="H27" s="24" t="s">
        <v>360</v>
      </c>
      <c r="I27" s="21" t="s">
        <v>360</v>
      </c>
      <c r="J27" s="24"/>
      <c r="K27" s="24"/>
      <c r="L27" s="24"/>
      <c r="M27" s="6">
        <v>89</v>
      </c>
      <c r="N27" s="6" t="s">
        <v>361</v>
      </c>
      <c r="O27" s="6" t="s">
        <v>362</v>
      </c>
      <c r="P27" s="6"/>
      <c r="Q27" s="6"/>
      <c r="R27" s="6"/>
      <c r="S27" s="6" t="s">
        <v>363</v>
      </c>
      <c r="T27" s="6"/>
      <c r="U27" s="6" t="s">
        <v>364</v>
      </c>
      <c r="V27" s="6" t="s">
        <v>365</v>
      </c>
      <c r="W27" s="6"/>
      <c r="X27" s="6"/>
      <c r="Y27" s="6"/>
      <c r="Z27" s="6"/>
      <c r="AA27" s="6"/>
      <c r="AB27" s="6"/>
      <c r="AC27" s="6" t="s">
        <v>366</v>
      </c>
      <c r="AD27" s="6"/>
      <c r="AE27" s="6"/>
      <c r="AF27" s="6"/>
      <c r="AG27" s="6"/>
      <c r="AH27" s="6"/>
      <c r="AI27" s="6" t="s">
        <v>367</v>
      </c>
      <c r="AJ27" s="6"/>
      <c r="AK27" s="6"/>
      <c r="AL27" s="6"/>
      <c r="AM27" s="6"/>
      <c r="AN27" s="6"/>
      <c r="AO27" s="6"/>
      <c r="AP27" s="6" t="s">
        <v>285</v>
      </c>
      <c r="AQ27" s="6" t="s">
        <v>368</v>
      </c>
      <c r="AR27" s="6"/>
      <c r="AS27" s="6"/>
      <c r="AT27" s="6"/>
      <c r="AU27" s="6"/>
      <c r="AV27" s="6"/>
      <c r="AW27" s="6"/>
      <c r="AX27" s="6"/>
    </row>
    <row r="28" spans="1:50" x14ac:dyDescent="0.25">
      <c r="A28" t="str">
        <f t="shared" si="0"/>
        <v>2A</v>
      </c>
      <c r="B28">
        <v>42</v>
      </c>
      <c r="C28" t="s">
        <v>358</v>
      </c>
      <c r="F28" s="24" t="s">
        <v>369</v>
      </c>
      <c r="G28" s="24"/>
      <c r="H28" s="24" t="s">
        <v>360</v>
      </c>
      <c r="I28" s="21" t="s">
        <v>360</v>
      </c>
      <c r="J28" s="24"/>
      <c r="K28" s="24"/>
      <c r="L28" s="24"/>
      <c r="M28" s="6">
        <v>90</v>
      </c>
      <c r="N28" s="6"/>
      <c r="O28" s="6" t="s">
        <v>370</v>
      </c>
      <c r="P28" s="6"/>
      <c r="Q28" s="6"/>
      <c r="R28" s="6"/>
      <c r="S28" s="6" t="s">
        <v>371</v>
      </c>
      <c r="T28" s="6"/>
      <c r="U28" s="6" t="s">
        <v>372</v>
      </c>
      <c r="V28" s="6" t="s">
        <v>279</v>
      </c>
      <c r="W28" s="6"/>
      <c r="X28" s="6" t="s">
        <v>373</v>
      </c>
      <c r="Y28" s="6"/>
      <c r="Z28" s="6"/>
      <c r="AA28" s="6"/>
      <c r="AB28" s="6"/>
      <c r="AC28" s="6" t="s">
        <v>374</v>
      </c>
      <c r="AD28" s="6"/>
      <c r="AE28" s="6"/>
      <c r="AF28" s="6"/>
      <c r="AG28" s="6"/>
      <c r="AH28" s="6"/>
      <c r="AI28" s="6" t="s">
        <v>375</v>
      </c>
      <c r="AJ28" s="6"/>
      <c r="AK28" s="6"/>
      <c r="AL28" s="6"/>
      <c r="AM28" s="6"/>
      <c r="AN28" s="6"/>
      <c r="AO28" s="6"/>
      <c r="AP28" s="6" t="s">
        <v>263</v>
      </c>
      <c r="AQ28" s="6" t="s">
        <v>376</v>
      </c>
      <c r="AR28" s="6"/>
      <c r="AS28" s="6"/>
      <c r="AT28" s="6"/>
      <c r="AU28" s="6"/>
      <c r="AV28" s="6"/>
      <c r="AW28" s="6"/>
      <c r="AX28" s="6"/>
    </row>
    <row r="29" spans="1:50" x14ac:dyDescent="0.25">
      <c r="A29" t="str">
        <f t="shared" si="0"/>
        <v>2B</v>
      </c>
      <c r="B29">
        <v>43</v>
      </c>
      <c r="C29" t="s">
        <v>358</v>
      </c>
      <c r="F29" s="24" t="s">
        <v>113</v>
      </c>
      <c r="G29" s="24"/>
      <c r="H29" s="24" t="s">
        <v>360</v>
      </c>
      <c r="I29" s="21" t="s">
        <v>360</v>
      </c>
      <c r="J29" s="24" t="s">
        <v>241</v>
      </c>
      <c r="K29" s="24"/>
      <c r="L29" s="24"/>
      <c r="M29" s="6">
        <v>91</v>
      </c>
      <c r="N29" s="6"/>
      <c r="O29" s="6" t="s">
        <v>512</v>
      </c>
      <c r="P29" s="6" t="s">
        <v>513</v>
      </c>
      <c r="Q29" s="6"/>
      <c r="R29" s="6"/>
      <c r="S29" s="6" t="s">
        <v>514</v>
      </c>
      <c r="T29" s="6"/>
      <c r="U29" s="6" t="s">
        <v>515</v>
      </c>
      <c r="V29" s="6" t="s">
        <v>393</v>
      </c>
      <c r="W29" s="6"/>
      <c r="X29" s="6" t="s">
        <v>516</v>
      </c>
      <c r="Y29" s="6"/>
      <c r="Z29" s="6"/>
      <c r="AA29" s="6"/>
      <c r="AB29" s="6"/>
      <c r="AC29" s="6" t="s">
        <v>517</v>
      </c>
      <c r="AD29" s="6"/>
      <c r="AE29" s="6"/>
      <c r="AF29" s="6"/>
      <c r="AG29" s="6"/>
      <c r="AH29" s="6"/>
      <c r="AI29" s="6" t="s">
        <v>493</v>
      </c>
      <c r="AJ29" s="6"/>
      <c r="AK29" s="6"/>
      <c r="AL29" s="6"/>
      <c r="AM29" s="6"/>
      <c r="AN29" s="6"/>
      <c r="AO29" s="6"/>
      <c r="AP29" s="6" t="s">
        <v>263</v>
      </c>
      <c r="AQ29" s="6" t="s">
        <v>518</v>
      </c>
      <c r="AR29" s="6"/>
      <c r="AS29" s="6"/>
      <c r="AT29" s="6"/>
      <c r="AU29" s="6"/>
      <c r="AV29" s="6"/>
      <c r="AW29" s="6"/>
      <c r="AX29" s="6"/>
    </row>
    <row r="30" spans="1:50" x14ac:dyDescent="0.25">
      <c r="A30" t="str">
        <f t="shared" si="0"/>
        <v>2C</v>
      </c>
      <c r="B30">
        <v>44</v>
      </c>
      <c r="C30" s="28" t="s">
        <v>988</v>
      </c>
      <c r="E30" s="7" t="s">
        <v>389</v>
      </c>
      <c r="F30" s="25" t="s">
        <v>116</v>
      </c>
      <c r="G30" s="18"/>
      <c r="H30" s="18" t="s">
        <v>26</v>
      </c>
      <c r="I30" s="21" t="s">
        <v>26</v>
      </c>
      <c r="J30" s="18" t="s">
        <v>26</v>
      </c>
      <c r="K30" s="18"/>
      <c r="L30" s="18"/>
      <c r="M30">
        <v>92</v>
      </c>
      <c r="N30" t="s">
        <v>542</v>
      </c>
      <c r="P30" t="s">
        <v>543</v>
      </c>
      <c r="S30" t="s">
        <v>507</v>
      </c>
      <c r="U30" t="s">
        <v>544</v>
      </c>
      <c r="V30" t="s">
        <v>545</v>
      </c>
      <c r="AC30" t="s">
        <v>464</v>
      </c>
      <c r="AK30" t="s">
        <v>546</v>
      </c>
      <c r="AN30" t="s">
        <v>547</v>
      </c>
      <c r="AO30" t="s">
        <v>240</v>
      </c>
      <c r="AP30" t="s">
        <v>285</v>
      </c>
      <c r="AQ30" t="s">
        <v>511</v>
      </c>
    </row>
    <row r="31" spans="1:50" x14ac:dyDescent="0.25">
      <c r="A31" t="str">
        <f t="shared" si="0"/>
        <v>2D</v>
      </c>
      <c r="B31">
        <v>45</v>
      </c>
      <c r="C31" s="28" t="s">
        <v>989</v>
      </c>
      <c r="E31" s="7" t="s">
        <v>400</v>
      </c>
      <c r="F31" s="25" t="s">
        <v>401</v>
      </c>
      <c r="G31" s="18"/>
      <c r="H31" s="18" t="s">
        <v>26</v>
      </c>
      <c r="I31" s="21" t="s">
        <v>26</v>
      </c>
      <c r="J31" s="18"/>
      <c r="K31" s="18"/>
      <c r="L31" s="18"/>
      <c r="M31">
        <v>93</v>
      </c>
      <c r="N31" t="s">
        <v>242</v>
      </c>
      <c r="S31" t="s">
        <v>402</v>
      </c>
      <c r="U31" t="s">
        <v>403</v>
      </c>
      <c r="V31" t="s">
        <v>404</v>
      </c>
      <c r="AB31" t="s">
        <v>405</v>
      </c>
      <c r="AC31" t="s">
        <v>366</v>
      </c>
      <c r="AJ31" t="s">
        <v>406</v>
      </c>
      <c r="AK31" t="s">
        <v>407</v>
      </c>
      <c r="AL31" t="s">
        <v>408</v>
      </c>
      <c r="AN31" t="s">
        <v>409</v>
      </c>
      <c r="AP31" t="s">
        <v>250</v>
      </c>
      <c r="AQ31" t="s">
        <v>410</v>
      </c>
    </row>
    <row r="32" spans="1:50" x14ac:dyDescent="0.25">
      <c r="A32" t="str">
        <f t="shared" si="0"/>
        <v>2E</v>
      </c>
      <c r="B32">
        <v>46</v>
      </c>
      <c r="C32" s="28" t="s">
        <v>990</v>
      </c>
      <c r="F32" s="18" t="s">
        <v>411</v>
      </c>
      <c r="G32" s="18"/>
      <c r="H32" s="18" t="s">
        <v>26</v>
      </c>
      <c r="I32" s="21" t="s">
        <v>26</v>
      </c>
      <c r="J32" s="18"/>
      <c r="K32" s="18"/>
      <c r="L32" s="18"/>
      <c r="M32">
        <v>94</v>
      </c>
      <c r="N32" t="s">
        <v>242</v>
      </c>
      <c r="S32" t="s">
        <v>412</v>
      </c>
      <c r="U32" t="s">
        <v>413</v>
      </c>
      <c r="V32" t="s">
        <v>320</v>
      </c>
      <c r="AB32" t="s">
        <v>414</v>
      </c>
      <c r="AK32" t="s">
        <v>415</v>
      </c>
      <c r="AN32" t="s">
        <v>416</v>
      </c>
      <c r="AP32" t="s">
        <v>250</v>
      </c>
      <c r="AQ32" t="s">
        <v>417</v>
      </c>
    </row>
    <row r="33" spans="1:50" x14ac:dyDescent="0.25">
      <c r="A33" t="str">
        <f t="shared" si="0"/>
        <v>2F</v>
      </c>
      <c r="B33">
        <v>47</v>
      </c>
      <c r="C33" s="28" t="s">
        <v>991</v>
      </c>
      <c r="F33" s="18" t="s">
        <v>418</v>
      </c>
      <c r="G33" s="18"/>
      <c r="H33" s="18" t="s">
        <v>26</v>
      </c>
      <c r="I33" s="21" t="s">
        <v>26</v>
      </c>
      <c r="J33" s="18"/>
      <c r="K33" s="18"/>
      <c r="L33" s="18"/>
      <c r="M33">
        <v>95</v>
      </c>
      <c r="N33" t="s">
        <v>242</v>
      </c>
      <c r="S33" t="s">
        <v>419</v>
      </c>
      <c r="U33" t="s">
        <v>420</v>
      </c>
      <c r="V33" t="s">
        <v>306</v>
      </c>
      <c r="AB33" t="s">
        <v>421</v>
      </c>
      <c r="AK33" t="s">
        <v>422</v>
      </c>
      <c r="AN33" t="s">
        <v>423</v>
      </c>
      <c r="AP33" t="s">
        <v>250</v>
      </c>
      <c r="AQ33" t="s">
        <v>424</v>
      </c>
    </row>
    <row r="34" spans="1:50" x14ac:dyDescent="0.25">
      <c r="A34" t="str">
        <f t="shared" si="0"/>
        <v>30</v>
      </c>
      <c r="B34">
        <v>48</v>
      </c>
      <c r="C34" s="28" t="s">
        <v>992</v>
      </c>
      <c r="E34" s="7" t="s">
        <v>976</v>
      </c>
      <c r="F34" s="25" t="s">
        <v>425</v>
      </c>
      <c r="G34" s="18"/>
      <c r="H34" s="18" t="s">
        <v>26</v>
      </c>
      <c r="I34" s="21" t="s">
        <v>26</v>
      </c>
      <c r="J34" s="18"/>
      <c r="K34" s="18"/>
      <c r="L34" s="18"/>
      <c r="M34">
        <v>96</v>
      </c>
      <c r="N34" t="s">
        <v>242</v>
      </c>
      <c r="V34" t="s">
        <v>426</v>
      </c>
      <c r="AB34" t="s">
        <v>427</v>
      </c>
      <c r="AK34" t="s">
        <v>428</v>
      </c>
      <c r="AN34" t="s">
        <v>429</v>
      </c>
      <c r="AP34" t="s">
        <v>250</v>
      </c>
      <c r="AQ34" t="s">
        <v>430</v>
      </c>
    </row>
    <row r="35" spans="1:50" x14ac:dyDescent="0.25">
      <c r="F35" s="18" t="s">
        <v>878</v>
      </c>
      <c r="G35" s="18"/>
      <c r="H35" s="18" t="s">
        <v>26</v>
      </c>
      <c r="I35" s="18"/>
      <c r="J35" s="18" t="s">
        <v>879</v>
      </c>
      <c r="K35" s="18"/>
      <c r="L35" s="18"/>
      <c r="M35">
        <v>69</v>
      </c>
      <c r="P35" t="s">
        <v>880</v>
      </c>
      <c r="AP35" t="s">
        <v>263</v>
      </c>
      <c r="AQ35" t="s">
        <v>881</v>
      </c>
      <c r="AS35" t="s">
        <v>240</v>
      </c>
    </row>
    <row r="36" spans="1:50" x14ac:dyDescent="0.25">
      <c r="C36" t="s">
        <v>443</v>
      </c>
      <c r="F36" s="24" t="s">
        <v>444</v>
      </c>
      <c r="G36" s="24"/>
      <c r="H36" s="24" t="s">
        <v>360</v>
      </c>
      <c r="I36" s="24" t="s">
        <v>360</v>
      </c>
      <c r="J36" s="24"/>
      <c r="K36" s="24"/>
      <c r="L36" s="24"/>
      <c r="M36" s="6">
        <v>68</v>
      </c>
      <c r="N36" s="6"/>
      <c r="O36" s="6" t="s">
        <v>445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 t="s">
        <v>263</v>
      </c>
      <c r="AQ36" s="6" t="s">
        <v>446</v>
      </c>
      <c r="AR36" s="6"/>
      <c r="AS36" s="6" t="s">
        <v>240</v>
      </c>
      <c r="AT36" s="6"/>
      <c r="AU36" s="6"/>
      <c r="AV36" s="6"/>
      <c r="AW36" s="6"/>
      <c r="AX36" s="6"/>
    </row>
    <row r="37" spans="1:50" x14ac:dyDescent="0.25">
      <c r="A37" t="str">
        <f t="shared" ref="A37:A38" si="1">DEC2HEX(B37,2)</f>
        <v>1C</v>
      </c>
      <c r="B37">
        <v>28</v>
      </c>
      <c r="C37" s="28" t="s">
        <v>980</v>
      </c>
      <c r="F37" s="18" t="s">
        <v>114</v>
      </c>
      <c r="G37" s="18"/>
      <c r="H37" s="18" t="s">
        <v>26</v>
      </c>
      <c r="I37" s="18" t="s">
        <v>26</v>
      </c>
      <c r="J37" s="18" t="s">
        <v>26</v>
      </c>
      <c r="K37" s="18"/>
      <c r="L37" s="18"/>
      <c r="M37">
        <v>54</v>
      </c>
      <c r="N37" t="s">
        <v>519</v>
      </c>
      <c r="P37" t="s">
        <v>513</v>
      </c>
      <c r="S37" t="s">
        <v>371</v>
      </c>
      <c r="U37" t="s">
        <v>520</v>
      </c>
      <c r="V37" t="s">
        <v>452</v>
      </c>
      <c r="X37" t="s">
        <v>308</v>
      </c>
      <c r="AC37" t="s">
        <v>517</v>
      </c>
      <c r="AF37" t="s">
        <v>521</v>
      </c>
      <c r="AH37" t="s">
        <v>522</v>
      </c>
      <c r="AK37" t="s">
        <v>523</v>
      </c>
      <c r="AN37" t="s">
        <v>524</v>
      </c>
      <c r="AO37" t="s">
        <v>240</v>
      </c>
      <c r="AP37" t="s">
        <v>285</v>
      </c>
      <c r="AQ37" t="s">
        <v>376</v>
      </c>
    </row>
    <row r="38" spans="1:50" x14ac:dyDescent="0.25">
      <c r="A38" t="str">
        <f t="shared" si="1"/>
        <v>1B</v>
      </c>
      <c r="B38">
        <v>27</v>
      </c>
      <c r="C38" s="28" t="s">
        <v>979</v>
      </c>
      <c r="F38" s="18" t="s">
        <v>111</v>
      </c>
      <c r="G38" s="18"/>
      <c r="H38" s="18" t="s">
        <v>26</v>
      </c>
      <c r="I38" s="18" t="s">
        <v>26</v>
      </c>
      <c r="J38" s="18" t="s">
        <v>26</v>
      </c>
      <c r="K38" s="18"/>
      <c r="L38" s="18"/>
      <c r="M38">
        <v>53</v>
      </c>
      <c r="N38" t="s">
        <v>472</v>
      </c>
      <c r="P38" t="s">
        <v>449</v>
      </c>
      <c r="S38" t="s">
        <v>363</v>
      </c>
      <c r="U38" t="s">
        <v>473</v>
      </c>
      <c r="V38" t="s">
        <v>381</v>
      </c>
      <c r="X38" t="s">
        <v>321</v>
      </c>
      <c r="AC38" t="s">
        <v>374</v>
      </c>
      <c r="AF38" t="s">
        <v>474</v>
      </c>
      <c r="AH38" t="s">
        <v>475</v>
      </c>
      <c r="AK38" t="s">
        <v>476</v>
      </c>
      <c r="AN38" t="s">
        <v>477</v>
      </c>
      <c r="AO38" t="s">
        <v>240</v>
      </c>
      <c r="AP38" t="s">
        <v>285</v>
      </c>
      <c r="AQ38" t="s">
        <v>368</v>
      </c>
    </row>
    <row r="39" spans="1:50" x14ac:dyDescent="0.25">
      <c r="F39" s="18" t="s">
        <v>459</v>
      </c>
      <c r="G39" s="18"/>
      <c r="H39" s="18" t="s">
        <v>26</v>
      </c>
      <c r="I39" s="18" t="s">
        <v>26</v>
      </c>
      <c r="J39" s="18"/>
      <c r="K39" s="18"/>
      <c r="L39" s="18"/>
      <c r="M39">
        <v>52</v>
      </c>
      <c r="N39" t="s">
        <v>460</v>
      </c>
      <c r="S39" t="s">
        <v>331</v>
      </c>
      <c r="U39" t="s">
        <v>461</v>
      </c>
      <c r="V39" t="s">
        <v>462</v>
      </c>
      <c r="AA39" t="s">
        <v>463</v>
      </c>
      <c r="AB39" t="s">
        <v>405</v>
      </c>
      <c r="AC39" t="s">
        <v>464</v>
      </c>
      <c r="AF39" t="s">
        <v>465</v>
      </c>
      <c r="AG39" t="s">
        <v>466</v>
      </c>
      <c r="AH39" t="s">
        <v>467</v>
      </c>
      <c r="AI39" t="s">
        <v>468</v>
      </c>
      <c r="AK39" t="s">
        <v>469</v>
      </c>
      <c r="AN39" t="s">
        <v>470</v>
      </c>
      <c r="AP39" t="s">
        <v>285</v>
      </c>
      <c r="AQ39" t="s">
        <v>471</v>
      </c>
    </row>
    <row r="40" spans="1:50" x14ac:dyDescent="0.25">
      <c r="A40" t="str">
        <f t="shared" ref="A40:A41" si="2">DEC2HEX(B40,2)</f>
        <v>1A</v>
      </c>
      <c r="B40">
        <v>26</v>
      </c>
      <c r="C40" s="28" t="s">
        <v>978</v>
      </c>
      <c r="F40" s="18" t="s">
        <v>107</v>
      </c>
      <c r="G40" s="18"/>
      <c r="H40" s="18" t="s">
        <v>26</v>
      </c>
      <c r="I40" s="18" t="s">
        <v>26</v>
      </c>
      <c r="J40" s="18"/>
      <c r="K40" s="18"/>
      <c r="L40" s="18"/>
      <c r="M40">
        <v>51</v>
      </c>
      <c r="N40" t="s">
        <v>431</v>
      </c>
      <c r="O40" t="s">
        <v>432</v>
      </c>
      <c r="P40" t="s">
        <v>378</v>
      </c>
      <c r="R40" t="s">
        <v>433</v>
      </c>
      <c r="S40" t="s">
        <v>434</v>
      </c>
      <c r="T40" t="s">
        <v>332</v>
      </c>
      <c r="U40" t="s">
        <v>435</v>
      </c>
      <c r="V40" t="s">
        <v>426</v>
      </c>
      <c r="AB40" t="s">
        <v>414</v>
      </c>
      <c r="AC40" t="s">
        <v>366</v>
      </c>
      <c r="AF40" t="s">
        <v>436</v>
      </c>
      <c r="AG40" t="s">
        <v>437</v>
      </c>
      <c r="AH40" t="s">
        <v>438</v>
      </c>
      <c r="AI40" t="s">
        <v>439</v>
      </c>
      <c r="AK40" t="s">
        <v>440</v>
      </c>
      <c r="AN40" t="s">
        <v>441</v>
      </c>
      <c r="AO40" t="s">
        <v>240</v>
      </c>
      <c r="AP40" t="s">
        <v>285</v>
      </c>
      <c r="AQ40" t="s">
        <v>442</v>
      </c>
    </row>
    <row r="41" spans="1:50" x14ac:dyDescent="0.25">
      <c r="A41" t="str">
        <f t="shared" si="2"/>
        <v>19</v>
      </c>
      <c r="B41">
        <v>25</v>
      </c>
      <c r="C41" s="6" t="s">
        <v>9</v>
      </c>
      <c r="D41" t="s">
        <v>274</v>
      </c>
      <c r="F41" s="18" t="s">
        <v>100</v>
      </c>
      <c r="G41" s="18"/>
      <c r="H41" s="18" t="s">
        <v>26</v>
      </c>
      <c r="I41" s="18" t="s">
        <v>26</v>
      </c>
      <c r="J41" s="18" t="s">
        <v>26</v>
      </c>
      <c r="K41" s="18"/>
      <c r="L41" s="18"/>
      <c r="M41">
        <v>50</v>
      </c>
      <c r="N41" t="s">
        <v>287</v>
      </c>
      <c r="P41" t="s">
        <v>276</v>
      </c>
      <c r="R41" t="s">
        <v>288</v>
      </c>
      <c r="T41" t="s">
        <v>289</v>
      </c>
      <c r="U41" t="s">
        <v>290</v>
      </c>
      <c r="AB41" t="s">
        <v>291</v>
      </c>
      <c r="AC41" t="s">
        <v>292</v>
      </c>
      <c r="AE41" t="s">
        <v>293</v>
      </c>
      <c r="AF41" t="s">
        <v>294</v>
      </c>
      <c r="AG41" t="s">
        <v>295</v>
      </c>
      <c r="AH41" t="s">
        <v>296</v>
      </c>
      <c r="AI41" t="s">
        <v>297</v>
      </c>
      <c r="AK41" t="s">
        <v>298</v>
      </c>
      <c r="AN41" t="s">
        <v>299</v>
      </c>
      <c r="AO41" t="s">
        <v>240</v>
      </c>
      <c r="AP41" t="s">
        <v>285</v>
      </c>
      <c r="AQ41" t="s">
        <v>300</v>
      </c>
    </row>
    <row r="42" spans="1:50" x14ac:dyDescent="0.25">
      <c r="E42" s="7" t="s">
        <v>977</v>
      </c>
      <c r="F42" s="25" t="s">
        <v>483</v>
      </c>
      <c r="G42" s="18"/>
      <c r="H42" s="18" t="s">
        <v>26</v>
      </c>
      <c r="I42" s="18" t="s">
        <v>26</v>
      </c>
      <c r="J42" s="18"/>
      <c r="K42" s="18"/>
      <c r="L42" s="18"/>
      <c r="M42">
        <v>49</v>
      </c>
      <c r="N42" t="s">
        <v>242</v>
      </c>
      <c r="U42" t="s">
        <v>484</v>
      </c>
      <c r="AC42" t="s">
        <v>485</v>
      </c>
      <c r="AF42" t="s">
        <v>486</v>
      </c>
      <c r="AJ42" t="s">
        <v>406</v>
      </c>
      <c r="AK42" t="s">
        <v>487</v>
      </c>
      <c r="AN42" t="s">
        <v>488</v>
      </c>
      <c r="AP42" t="s">
        <v>250</v>
      </c>
      <c r="AQ42" t="s">
        <v>489</v>
      </c>
    </row>
    <row r="43" spans="1:50" x14ac:dyDescent="0.25">
      <c r="F43" s="18" t="s">
        <v>490</v>
      </c>
      <c r="G43" s="18"/>
      <c r="H43" s="18" t="s">
        <v>26</v>
      </c>
      <c r="I43" s="18" t="s">
        <v>26</v>
      </c>
      <c r="J43" s="18"/>
      <c r="K43" s="18"/>
      <c r="L43" s="18"/>
      <c r="M43">
        <v>66</v>
      </c>
      <c r="O43" t="s">
        <v>491</v>
      </c>
      <c r="T43" t="s">
        <v>289</v>
      </c>
      <c r="AH43" t="s">
        <v>492</v>
      </c>
      <c r="AI43" t="s">
        <v>493</v>
      </c>
      <c r="AJ43" t="s">
        <v>324</v>
      </c>
      <c r="AK43" t="s">
        <v>494</v>
      </c>
      <c r="AP43" t="s">
        <v>263</v>
      </c>
      <c r="AQ43" t="s">
        <v>495</v>
      </c>
    </row>
    <row r="44" spans="1:50" x14ac:dyDescent="0.25">
      <c r="F44" s="18" t="s">
        <v>496</v>
      </c>
      <c r="G44" s="18"/>
      <c r="H44" s="18" t="s">
        <v>26</v>
      </c>
      <c r="I44" s="18" t="s">
        <v>26</v>
      </c>
      <c r="J44" s="18"/>
      <c r="K44" s="18"/>
      <c r="L44" s="18"/>
      <c r="M44">
        <v>65</v>
      </c>
      <c r="O44" t="s">
        <v>497</v>
      </c>
      <c r="S44" t="s">
        <v>412</v>
      </c>
      <c r="T44" t="s">
        <v>498</v>
      </c>
      <c r="AH44" t="s">
        <v>499</v>
      </c>
      <c r="AI44" t="s">
        <v>375</v>
      </c>
      <c r="AJ44" t="s">
        <v>395</v>
      </c>
      <c r="AK44" t="s">
        <v>500</v>
      </c>
      <c r="AP44" t="s">
        <v>263</v>
      </c>
      <c r="AQ44" t="s">
        <v>417</v>
      </c>
    </row>
    <row r="45" spans="1:50" x14ac:dyDescent="0.25">
      <c r="F45" s="18" t="s">
        <v>501</v>
      </c>
      <c r="G45" s="18"/>
      <c r="H45" s="18" t="s">
        <v>26</v>
      </c>
      <c r="I45" s="18" t="s">
        <v>26</v>
      </c>
      <c r="J45" s="18"/>
      <c r="K45" s="18"/>
      <c r="L45" s="18"/>
      <c r="M45">
        <v>64</v>
      </c>
      <c r="O45" t="s">
        <v>502</v>
      </c>
      <c r="S45" t="s">
        <v>402</v>
      </c>
      <c r="T45" t="s">
        <v>332</v>
      </c>
      <c r="AH45" t="s">
        <v>503</v>
      </c>
      <c r="AI45" t="s">
        <v>468</v>
      </c>
      <c r="AJ45" t="s">
        <v>384</v>
      </c>
      <c r="AK45" t="s">
        <v>504</v>
      </c>
      <c r="AP45" t="s">
        <v>263</v>
      </c>
      <c r="AQ45" t="s">
        <v>410</v>
      </c>
    </row>
    <row r="46" spans="1:50" x14ac:dyDescent="0.25">
      <c r="F46" s="18" t="s">
        <v>505</v>
      </c>
      <c r="G46" s="18"/>
      <c r="H46" s="18" t="s">
        <v>26</v>
      </c>
      <c r="I46" s="18" t="s">
        <v>26</v>
      </c>
      <c r="J46" s="18"/>
      <c r="K46" s="18"/>
      <c r="L46" s="18"/>
      <c r="M46">
        <v>63</v>
      </c>
      <c r="O46" t="s">
        <v>506</v>
      </c>
      <c r="S46" t="s">
        <v>507</v>
      </c>
      <c r="T46" t="s">
        <v>508</v>
      </c>
      <c r="AH46" t="s">
        <v>509</v>
      </c>
      <c r="AI46" t="s">
        <v>439</v>
      </c>
      <c r="AJ46" t="s">
        <v>311</v>
      </c>
      <c r="AK46" t="s">
        <v>510</v>
      </c>
      <c r="AP46" t="s">
        <v>263</v>
      </c>
      <c r="AQ46" t="s">
        <v>511</v>
      </c>
    </row>
    <row r="47" spans="1:50" x14ac:dyDescent="0.25">
      <c r="F47" s="24" t="s">
        <v>115</v>
      </c>
      <c r="G47" s="24"/>
      <c r="H47" s="24" t="s">
        <v>358</v>
      </c>
      <c r="I47" s="24" t="s">
        <v>358</v>
      </c>
      <c r="J47" s="24" t="s">
        <v>358</v>
      </c>
      <c r="K47" s="24"/>
      <c r="L47" s="24"/>
      <c r="M47" s="6">
        <v>24</v>
      </c>
      <c r="N47" s="6" t="s">
        <v>536</v>
      </c>
      <c r="O47" s="6" t="s">
        <v>537</v>
      </c>
      <c r="P47" s="6" t="s">
        <v>513</v>
      </c>
      <c r="Q47" s="6"/>
      <c r="R47" s="6"/>
      <c r="S47" s="6" t="s">
        <v>538</v>
      </c>
      <c r="T47" s="6"/>
      <c r="U47" s="6" t="s">
        <v>539</v>
      </c>
      <c r="V47" s="6" t="s">
        <v>365</v>
      </c>
      <c r="W47" s="6"/>
      <c r="X47" s="6"/>
      <c r="Y47" s="6" t="s">
        <v>540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240</v>
      </c>
      <c r="AP47" s="6" t="s">
        <v>285</v>
      </c>
      <c r="AQ47" s="6" t="s">
        <v>541</v>
      </c>
      <c r="AR47" s="6"/>
      <c r="AS47" s="6"/>
      <c r="AT47" s="6"/>
      <c r="AU47" s="6"/>
      <c r="AV47" s="6"/>
      <c r="AW47" s="6"/>
      <c r="AX47" s="6"/>
    </row>
    <row r="48" spans="1:50" x14ac:dyDescent="0.25">
      <c r="F48" s="24" t="s">
        <v>112</v>
      </c>
      <c r="G48" s="24"/>
      <c r="H48" s="24" t="s">
        <v>358</v>
      </c>
      <c r="I48" s="24" t="s">
        <v>358</v>
      </c>
      <c r="J48" s="24" t="s">
        <v>358</v>
      </c>
      <c r="K48" s="24"/>
      <c r="L48" s="24"/>
      <c r="M48" s="6">
        <v>23</v>
      </c>
      <c r="N48" s="6" t="s">
        <v>478</v>
      </c>
      <c r="O48" s="6" t="s">
        <v>479</v>
      </c>
      <c r="P48" s="6" t="s">
        <v>449</v>
      </c>
      <c r="Q48" s="6"/>
      <c r="R48" s="6"/>
      <c r="S48" s="6" t="s">
        <v>391</v>
      </c>
      <c r="T48" s="6"/>
      <c r="U48" s="6" t="s">
        <v>480</v>
      </c>
      <c r="V48" s="6" t="s">
        <v>481</v>
      </c>
      <c r="W48" s="6" t="s">
        <v>335</v>
      </c>
      <c r="X48" s="6"/>
      <c r="Y48" s="6" t="s">
        <v>482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240</v>
      </c>
      <c r="AP48" s="6" t="s">
        <v>285</v>
      </c>
      <c r="AQ48" s="6" t="s">
        <v>337</v>
      </c>
      <c r="AR48" s="6"/>
      <c r="AS48" s="6"/>
      <c r="AT48" s="6"/>
      <c r="AU48" s="6"/>
      <c r="AV48" s="6"/>
      <c r="AW48" s="6"/>
      <c r="AX48" s="6"/>
    </row>
    <row r="49" spans="3:50" x14ac:dyDescent="0.25">
      <c r="C49" t="s">
        <v>358</v>
      </c>
      <c r="F49" s="24" t="s">
        <v>525</v>
      </c>
      <c r="G49" s="24"/>
      <c r="H49" s="24" t="s">
        <v>360</v>
      </c>
      <c r="I49" s="24" t="s">
        <v>360</v>
      </c>
      <c r="J49" s="24"/>
      <c r="K49" s="24"/>
      <c r="L49" s="24"/>
      <c r="M49" s="6">
        <v>62</v>
      </c>
      <c r="N49" s="6"/>
      <c r="O49" s="6" t="s">
        <v>526</v>
      </c>
      <c r="P49" s="6"/>
      <c r="Q49" s="6"/>
      <c r="R49" s="6"/>
      <c r="S49" s="6" t="s">
        <v>527</v>
      </c>
      <c r="T49" s="6" t="s">
        <v>528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 t="s">
        <v>529</v>
      </c>
      <c r="AI49" s="6" t="s">
        <v>297</v>
      </c>
      <c r="AJ49" s="6" t="s">
        <v>454</v>
      </c>
      <c r="AK49" s="6"/>
      <c r="AL49" s="6"/>
      <c r="AM49" s="6"/>
      <c r="AN49" s="6"/>
      <c r="AO49" s="6"/>
      <c r="AP49" s="6" t="s">
        <v>263</v>
      </c>
      <c r="AQ49" s="6" t="s">
        <v>530</v>
      </c>
      <c r="AR49" s="6"/>
      <c r="AS49" s="6"/>
      <c r="AT49" s="6"/>
      <c r="AU49" s="6"/>
      <c r="AV49" s="6"/>
      <c r="AW49" s="6"/>
      <c r="AX49" s="6"/>
    </row>
    <row r="50" spans="3:50" x14ac:dyDescent="0.25">
      <c r="C50" t="s">
        <v>358</v>
      </c>
      <c r="F50" s="24" t="s">
        <v>531</v>
      </c>
      <c r="G50" s="24"/>
      <c r="H50" s="24"/>
      <c r="I50" s="24"/>
      <c r="J50" s="24"/>
      <c r="K50" s="24"/>
      <c r="L50" s="24"/>
      <c r="M50" s="6">
        <v>88</v>
      </c>
      <c r="N50" s="6" t="s">
        <v>532</v>
      </c>
      <c r="O50" s="6" t="s">
        <v>533</v>
      </c>
      <c r="P50" s="6"/>
      <c r="Q50" s="6"/>
      <c r="R50" s="6"/>
      <c r="S50" s="6"/>
      <c r="T50" s="6"/>
      <c r="U50" s="6"/>
      <c r="V50" s="6" t="s">
        <v>481</v>
      </c>
      <c r="W50" s="6"/>
      <c r="X50" s="6"/>
      <c r="Y50" s="6"/>
      <c r="Z50" s="6"/>
      <c r="AA50" s="6"/>
      <c r="AB50" s="6"/>
      <c r="AC50" s="6" t="s">
        <v>292</v>
      </c>
      <c r="AD50" s="6"/>
      <c r="AE50" s="6"/>
      <c r="AF50" s="6"/>
      <c r="AG50" s="6"/>
      <c r="AH50" s="6"/>
      <c r="AI50" s="6" t="s">
        <v>534</v>
      </c>
      <c r="AJ50" s="6"/>
      <c r="AK50" s="6"/>
      <c r="AL50" s="6"/>
      <c r="AM50" s="6"/>
      <c r="AN50" s="6"/>
      <c r="AO50" s="6"/>
      <c r="AP50" s="6" t="s">
        <v>285</v>
      </c>
      <c r="AQ50" s="6" t="s">
        <v>535</v>
      </c>
      <c r="AR50" s="6"/>
      <c r="AS50" s="6"/>
      <c r="AT50" s="6"/>
      <c r="AU50" s="6"/>
      <c r="AV50" s="6"/>
      <c r="AW50" s="6"/>
      <c r="AX50" s="6"/>
    </row>
    <row r="51" spans="3:50" x14ac:dyDescent="0.25">
      <c r="F51" s="18" t="s">
        <v>128</v>
      </c>
      <c r="G51" s="18"/>
      <c r="H51" s="18" t="s">
        <v>26</v>
      </c>
      <c r="I51" s="18" t="s">
        <v>26</v>
      </c>
      <c r="J51" s="18" t="s">
        <v>26</v>
      </c>
      <c r="K51" s="18"/>
      <c r="L51" s="18"/>
      <c r="M51">
        <v>87</v>
      </c>
      <c r="N51" t="s">
        <v>661</v>
      </c>
      <c r="P51" t="s">
        <v>225</v>
      </c>
      <c r="S51" t="s">
        <v>450</v>
      </c>
      <c r="U51" t="s">
        <v>662</v>
      </c>
      <c r="V51" t="s">
        <v>462</v>
      </c>
      <c r="AC51" t="s">
        <v>485</v>
      </c>
      <c r="AI51" t="s">
        <v>367</v>
      </c>
      <c r="AK51" t="s">
        <v>663</v>
      </c>
      <c r="AN51" t="s">
        <v>664</v>
      </c>
      <c r="AO51" t="s">
        <v>240</v>
      </c>
      <c r="AP51" t="s">
        <v>285</v>
      </c>
      <c r="AQ51" t="s">
        <v>458</v>
      </c>
    </row>
    <row r="52" spans="3:50" x14ac:dyDescent="0.25">
      <c r="C52" t="s">
        <v>358</v>
      </c>
      <c r="D52" t="s">
        <v>622</v>
      </c>
      <c r="F52" s="18" t="s">
        <v>123</v>
      </c>
      <c r="G52" s="18"/>
      <c r="H52" s="18" t="s">
        <v>26</v>
      </c>
      <c r="I52" s="18" t="s">
        <v>26</v>
      </c>
      <c r="J52" s="18" t="s">
        <v>26</v>
      </c>
      <c r="K52" s="18"/>
      <c r="L52" s="18"/>
      <c r="M52">
        <v>86</v>
      </c>
      <c r="N52" t="s">
        <v>623</v>
      </c>
      <c r="P52" t="s">
        <v>624</v>
      </c>
      <c r="U52" t="s">
        <v>625</v>
      </c>
      <c r="V52" t="s">
        <v>426</v>
      </c>
      <c r="AC52" t="s">
        <v>626</v>
      </c>
      <c r="AI52" t="s">
        <v>534</v>
      </c>
      <c r="AK52" t="s">
        <v>627</v>
      </c>
      <c r="AN52" t="s">
        <v>628</v>
      </c>
      <c r="AO52" t="s">
        <v>240</v>
      </c>
      <c r="AP52" t="s">
        <v>285</v>
      </c>
      <c r="AQ52" t="s">
        <v>629</v>
      </c>
    </row>
    <row r="53" spans="3:50" x14ac:dyDescent="0.25">
      <c r="D53" t="s">
        <v>548</v>
      </c>
      <c r="F53" s="18" t="s">
        <v>549</v>
      </c>
      <c r="G53" s="18"/>
      <c r="H53" s="18" t="s">
        <v>26</v>
      </c>
      <c r="I53" s="18" t="s">
        <v>26</v>
      </c>
      <c r="J53" s="18"/>
      <c r="K53" s="18"/>
      <c r="L53" s="18"/>
      <c r="M53">
        <v>85</v>
      </c>
      <c r="N53" t="s">
        <v>242</v>
      </c>
      <c r="U53" t="s">
        <v>420</v>
      </c>
      <c r="V53" t="s">
        <v>550</v>
      </c>
      <c r="AK53" t="s">
        <v>551</v>
      </c>
      <c r="AN53" t="s">
        <v>552</v>
      </c>
      <c r="AP53" t="s">
        <v>250</v>
      </c>
      <c r="AQ53" t="s">
        <v>553</v>
      </c>
    </row>
    <row r="54" spans="3:50" x14ac:dyDescent="0.25">
      <c r="C54" t="s">
        <v>358</v>
      </c>
      <c r="D54" t="s">
        <v>96</v>
      </c>
      <c r="F54" s="18" t="s">
        <v>144</v>
      </c>
      <c r="G54" s="18"/>
      <c r="H54" s="18" t="s">
        <v>26</v>
      </c>
      <c r="I54" s="18" t="s">
        <v>26</v>
      </c>
      <c r="J54" s="18" t="s">
        <v>26</v>
      </c>
      <c r="K54" s="18"/>
      <c r="L54" s="18"/>
      <c r="M54">
        <v>82</v>
      </c>
      <c r="P54" t="s">
        <v>243</v>
      </c>
      <c r="S54" t="s">
        <v>391</v>
      </c>
      <c r="U54" t="s">
        <v>719</v>
      </c>
      <c r="V54" t="s">
        <v>768</v>
      </c>
      <c r="AI54" t="s">
        <v>310</v>
      </c>
      <c r="AK54" t="s">
        <v>839</v>
      </c>
      <c r="AP54" t="s">
        <v>263</v>
      </c>
      <c r="AQ54" t="s">
        <v>399</v>
      </c>
    </row>
    <row r="55" spans="3:50" x14ac:dyDescent="0.25">
      <c r="C55" t="s">
        <v>157</v>
      </c>
      <c r="D55" t="s">
        <v>730</v>
      </c>
      <c r="F55" s="18" t="s">
        <v>732</v>
      </c>
      <c r="G55" s="18"/>
      <c r="H55" s="18" t="s">
        <v>26</v>
      </c>
      <c r="I55" s="18" t="s">
        <v>26</v>
      </c>
      <c r="J55" s="18" t="s">
        <v>26</v>
      </c>
      <c r="K55" s="18"/>
      <c r="L55" s="18"/>
      <c r="M55">
        <v>81</v>
      </c>
      <c r="N55" t="s">
        <v>733</v>
      </c>
      <c r="P55" t="s">
        <v>234</v>
      </c>
      <c r="S55" t="s">
        <v>676</v>
      </c>
      <c r="U55" t="s">
        <v>723</v>
      </c>
      <c r="AI55" t="s">
        <v>323</v>
      </c>
      <c r="AJ55" t="s">
        <v>454</v>
      </c>
      <c r="AK55" t="s">
        <v>734</v>
      </c>
      <c r="AN55" t="s">
        <v>735</v>
      </c>
      <c r="AO55" t="s">
        <v>240</v>
      </c>
      <c r="AP55" t="s">
        <v>285</v>
      </c>
      <c r="AQ55" t="s">
        <v>683</v>
      </c>
    </row>
    <row r="56" spans="3:50" x14ac:dyDescent="0.25">
      <c r="C56" t="s">
        <v>358</v>
      </c>
      <c r="D56" s="10" t="s">
        <v>559</v>
      </c>
      <c r="E56" t="s">
        <v>568</v>
      </c>
      <c r="F56" s="18" t="s">
        <v>569</v>
      </c>
      <c r="G56" s="18"/>
      <c r="H56" s="18" t="s">
        <v>241</v>
      </c>
      <c r="I56" s="18" t="s">
        <v>241</v>
      </c>
      <c r="J56" s="18"/>
      <c r="K56" s="18"/>
      <c r="L56" s="18"/>
      <c r="M56">
        <v>80</v>
      </c>
      <c r="N56" t="s">
        <v>570</v>
      </c>
      <c r="S56" t="s">
        <v>571</v>
      </c>
      <c r="U56" t="s">
        <v>572</v>
      </c>
      <c r="AI56" t="s">
        <v>367</v>
      </c>
      <c r="AJ56" t="s">
        <v>406</v>
      </c>
      <c r="AK56" t="s">
        <v>573</v>
      </c>
      <c r="AN56" t="s">
        <v>574</v>
      </c>
      <c r="AP56" t="s">
        <v>285</v>
      </c>
      <c r="AQ56" t="s">
        <v>575</v>
      </c>
    </row>
    <row r="57" spans="3:50" x14ac:dyDescent="0.25">
      <c r="C57" t="s">
        <v>241</v>
      </c>
      <c r="D57" t="s">
        <v>559</v>
      </c>
      <c r="F57" s="18" t="s">
        <v>576</v>
      </c>
      <c r="G57" s="18"/>
      <c r="H57" s="18" t="s">
        <v>241</v>
      </c>
      <c r="I57" s="18" t="s">
        <v>241</v>
      </c>
      <c r="J57" s="18"/>
      <c r="K57" s="18"/>
      <c r="L57" s="18"/>
      <c r="M57">
        <v>79</v>
      </c>
      <c r="N57" t="s">
        <v>577</v>
      </c>
      <c r="S57" t="s">
        <v>578</v>
      </c>
      <c r="U57" t="s">
        <v>579</v>
      </c>
      <c r="AI57" t="s">
        <v>534</v>
      </c>
      <c r="AJ57" t="s">
        <v>311</v>
      </c>
      <c r="AK57" t="s">
        <v>580</v>
      </c>
      <c r="AN57" t="s">
        <v>581</v>
      </c>
      <c r="AP57" t="s">
        <v>285</v>
      </c>
      <c r="AQ57" t="s">
        <v>582</v>
      </c>
    </row>
    <row r="58" spans="3:50" x14ac:dyDescent="0.25">
      <c r="C58" t="s">
        <v>241</v>
      </c>
      <c r="D58" t="s">
        <v>559</v>
      </c>
      <c r="F58" s="18" t="s">
        <v>583</v>
      </c>
      <c r="G58" s="18"/>
      <c r="H58" s="18" t="s">
        <v>241</v>
      </c>
      <c r="I58" s="18" t="s">
        <v>241</v>
      </c>
      <c r="J58" s="18"/>
      <c r="K58" s="18"/>
      <c r="L58" s="18"/>
      <c r="M58">
        <v>78</v>
      </c>
      <c r="N58" t="s">
        <v>584</v>
      </c>
      <c r="S58" t="s">
        <v>585</v>
      </c>
      <c r="U58" t="s">
        <v>586</v>
      </c>
      <c r="AJ58" t="s">
        <v>384</v>
      </c>
      <c r="AK58" t="s">
        <v>587</v>
      </c>
      <c r="AN58" t="s">
        <v>588</v>
      </c>
      <c r="AP58" t="s">
        <v>285</v>
      </c>
      <c r="AQ58" t="s">
        <v>589</v>
      </c>
    </row>
    <row r="59" spans="3:50" x14ac:dyDescent="0.25">
      <c r="C59" t="s">
        <v>241</v>
      </c>
      <c r="D59" t="s">
        <v>559</v>
      </c>
      <c r="F59" s="18" t="s">
        <v>590</v>
      </c>
      <c r="G59" s="18"/>
      <c r="H59" s="18" t="s">
        <v>241</v>
      </c>
      <c r="I59" s="18" t="s">
        <v>241</v>
      </c>
      <c r="J59" s="18"/>
      <c r="K59" s="18"/>
      <c r="L59" s="18"/>
      <c r="M59">
        <v>77</v>
      </c>
      <c r="N59" t="s">
        <v>591</v>
      </c>
      <c r="S59" t="s">
        <v>592</v>
      </c>
      <c r="U59" t="s">
        <v>593</v>
      </c>
      <c r="AJ59" t="s">
        <v>395</v>
      </c>
      <c r="AK59" t="s">
        <v>594</v>
      </c>
      <c r="AN59" t="s">
        <v>595</v>
      </c>
      <c r="AP59" t="s">
        <v>285</v>
      </c>
      <c r="AQ59" t="s">
        <v>596</v>
      </c>
    </row>
    <row r="60" spans="3:50" x14ac:dyDescent="0.25">
      <c r="C60" t="s">
        <v>241</v>
      </c>
      <c r="D60" t="s">
        <v>559</v>
      </c>
      <c r="F60" s="18" t="s">
        <v>597</v>
      </c>
      <c r="G60" s="18"/>
      <c r="H60" s="18" t="s">
        <v>241</v>
      </c>
      <c r="I60" s="18" t="s">
        <v>241</v>
      </c>
      <c r="J60" s="18"/>
      <c r="K60" s="18"/>
      <c r="L60" s="18"/>
      <c r="M60">
        <v>76</v>
      </c>
      <c r="N60" t="s">
        <v>598</v>
      </c>
      <c r="S60" t="s">
        <v>538</v>
      </c>
      <c r="U60" t="s">
        <v>599</v>
      </c>
      <c r="AJ60" t="s">
        <v>324</v>
      </c>
      <c r="AK60" t="s">
        <v>600</v>
      </c>
      <c r="AN60" t="s">
        <v>601</v>
      </c>
      <c r="AP60" t="s">
        <v>285</v>
      </c>
      <c r="AQ60" t="s">
        <v>541</v>
      </c>
    </row>
    <row r="61" spans="3:50" x14ac:dyDescent="0.25">
      <c r="F61" s="18" t="s">
        <v>602</v>
      </c>
      <c r="G61" s="18"/>
      <c r="H61" s="18" t="s">
        <v>26</v>
      </c>
      <c r="I61" s="18" t="s">
        <v>26</v>
      </c>
      <c r="J61" s="18"/>
      <c r="K61" s="18"/>
      <c r="L61" s="18"/>
      <c r="M61">
        <v>75</v>
      </c>
      <c r="N61" t="s">
        <v>242</v>
      </c>
      <c r="S61" t="s">
        <v>603</v>
      </c>
      <c r="U61" t="s">
        <v>604</v>
      </c>
      <c r="AK61" t="s">
        <v>605</v>
      </c>
      <c r="AN61" t="s">
        <v>606</v>
      </c>
      <c r="AP61" t="s">
        <v>250</v>
      </c>
      <c r="AQ61" t="s">
        <v>607</v>
      </c>
    </row>
    <row r="62" spans="3:50" x14ac:dyDescent="0.25">
      <c r="F62" s="18" t="s">
        <v>608</v>
      </c>
      <c r="G62" s="18"/>
      <c r="H62" s="18" t="s">
        <v>26</v>
      </c>
      <c r="I62" s="18" t="s">
        <v>26</v>
      </c>
      <c r="J62" s="18"/>
      <c r="K62" s="18"/>
      <c r="L62" s="18"/>
      <c r="M62">
        <v>74</v>
      </c>
      <c r="S62" t="s">
        <v>561</v>
      </c>
      <c r="U62" t="s">
        <v>609</v>
      </c>
      <c r="AK62" t="s">
        <v>610</v>
      </c>
      <c r="AP62" t="s">
        <v>263</v>
      </c>
      <c r="AQ62" t="s">
        <v>567</v>
      </c>
    </row>
    <row r="63" spans="3:50" x14ac:dyDescent="0.25">
      <c r="F63" s="18" t="s">
        <v>611</v>
      </c>
      <c r="G63" s="18"/>
      <c r="H63" s="18" t="s">
        <v>26</v>
      </c>
      <c r="I63" s="18" t="s">
        <v>26</v>
      </c>
      <c r="J63" s="18"/>
      <c r="K63" s="18"/>
      <c r="L63" s="18"/>
      <c r="M63">
        <v>55</v>
      </c>
      <c r="AH63" t="s">
        <v>612</v>
      </c>
      <c r="AK63" t="s">
        <v>613</v>
      </c>
      <c r="AP63" t="s">
        <v>263</v>
      </c>
      <c r="AQ63" t="s">
        <v>614</v>
      </c>
    </row>
    <row r="64" spans="3:50" x14ac:dyDescent="0.25">
      <c r="F64" s="18" t="s">
        <v>615</v>
      </c>
      <c r="G64" s="18" t="s">
        <v>302</v>
      </c>
      <c r="H64" s="18" t="s">
        <v>26</v>
      </c>
      <c r="I64" s="18" t="s">
        <v>26</v>
      </c>
      <c r="J64" s="18"/>
      <c r="K64" s="18"/>
      <c r="L64" s="18"/>
      <c r="M64">
        <v>56</v>
      </c>
      <c r="W64" t="s">
        <v>307</v>
      </c>
      <c r="AK64" t="s">
        <v>616</v>
      </c>
      <c r="AP64" t="s">
        <v>263</v>
      </c>
      <c r="AQ64" t="s">
        <v>315</v>
      </c>
    </row>
    <row r="65" spans="3:43" x14ac:dyDescent="0.25">
      <c r="F65" s="18" t="s">
        <v>617</v>
      </c>
      <c r="G65" s="18"/>
      <c r="H65" s="18" t="s">
        <v>26</v>
      </c>
      <c r="I65" s="18" t="s">
        <v>26</v>
      </c>
      <c r="J65" s="18"/>
      <c r="K65" s="18"/>
      <c r="L65" s="18"/>
      <c r="M65">
        <v>57</v>
      </c>
      <c r="U65" t="s">
        <v>618</v>
      </c>
      <c r="AK65" t="s">
        <v>619</v>
      </c>
      <c r="AP65" t="s">
        <v>263</v>
      </c>
      <c r="AQ65" t="s">
        <v>620</v>
      </c>
    </row>
    <row r="66" spans="3:43" x14ac:dyDescent="0.25">
      <c r="C66" t="s">
        <v>241</v>
      </c>
      <c r="D66" t="s">
        <v>274</v>
      </c>
      <c r="F66" s="18" t="s">
        <v>101</v>
      </c>
      <c r="G66" s="18" t="s">
        <v>302</v>
      </c>
      <c r="H66" s="18" t="s">
        <v>26</v>
      </c>
      <c r="I66" s="18" t="s">
        <v>26</v>
      </c>
      <c r="J66" s="18" t="s">
        <v>26</v>
      </c>
      <c r="K66" s="18"/>
      <c r="L66" s="18"/>
      <c r="M66">
        <v>1</v>
      </c>
      <c r="N66" t="s">
        <v>242</v>
      </c>
      <c r="P66" t="s">
        <v>276</v>
      </c>
      <c r="Q66" t="s">
        <v>329</v>
      </c>
      <c r="R66" t="s">
        <v>330</v>
      </c>
      <c r="S66" t="s">
        <v>331</v>
      </c>
      <c r="T66" t="s">
        <v>332</v>
      </c>
      <c r="U66" t="s">
        <v>333</v>
      </c>
      <c r="V66" t="s">
        <v>334</v>
      </c>
      <c r="W66" t="s">
        <v>335</v>
      </c>
      <c r="AN66" t="s">
        <v>336</v>
      </c>
      <c r="AO66" t="s">
        <v>276</v>
      </c>
      <c r="AP66" t="s">
        <v>244</v>
      </c>
      <c r="AQ66" t="s">
        <v>337</v>
      </c>
    </row>
    <row r="67" spans="3:43" x14ac:dyDescent="0.25">
      <c r="C67" t="s">
        <v>358</v>
      </c>
      <c r="D67" t="s">
        <v>622</v>
      </c>
      <c r="F67" s="18" t="s">
        <v>124</v>
      </c>
      <c r="G67" s="18"/>
      <c r="H67" s="18" t="s">
        <v>241</v>
      </c>
      <c r="I67" s="18" t="s">
        <v>241</v>
      </c>
      <c r="J67" s="18" t="s">
        <v>241</v>
      </c>
      <c r="K67" s="18"/>
      <c r="L67" s="18"/>
      <c r="M67">
        <v>2</v>
      </c>
      <c r="N67" t="s">
        <v>630</v>
      </c>
      <c r="P67" t="s">
        <v>624</v>
      </c>
      <c r="R67" t="s">
        <v>631</v>
      </c>
      <c r="T67" t="s">
        <v>528</v>
      </c>
      <c r="U67" t="s">
        <v>632</v>
      </c>
      <c r="V67" t="s">
        <v>633</v>
      </c>
      <c r="X67" t="s">
        <v>321</v>
      </c>
      <c r="Y67" t="s">
        <v>280</v>
      </c>
      <c r="AN67" t="s">
        <v>634</v>
      </c>
      <c r="AO67" t="s">
        <v>240</v>
      </c>
      <c r="AP67" t="s">
        <v>285</v>
      </c>
      <c r="AQ67" t="s">
        <v>635</v>
      </c>
    </row>
    <row r="68" spans="3:43" x14ac:dyDescent="0.25">
      <c r="F68" s="18" t="s">
        <v>119</v>
      </c>
      <c r="G68" s="18"/>
      <c r="H68" s="18" t="s">
        <v>241</v>
      </c>
      <c r="I68" s="18" t="s">
        <v>241</v>
      </c>
      <c r="J68" s="18" t="s">
        <v>241</v>
      </c>
      <c r="K68" s="18"/>
      <c r="L68" s="18"/>
      <c r="M68">
        <v>3</v>
      </c>
      <c r="N68" t="s">
        <v>554</v>
      </c>
      <c r="P68" t="s">
        <v>543</v>
      </c>
      <c r="Q68" t="s">
        <v>329</v>
      </c>
      <c r="S68" t="s">
        <v>555</v>
      </c>
      <c r="T68" t="s">
        <v>508</v>
      </c>
      <c r="U68" t="s">
        <v>556</v>
      </c>
      <c r="X68" t="s">
        <v>308</v>
      </c>
      <c r="Z68" t="s">
        <v>557</v>
      </c>
      <c r="AA68" t="s">
        <v>463</v>
      </c>
      <c r="AN68" t="s">
        <v>558</v>
      </c>
      <c r="AO68" t="s">
        <v>240</v>
      </c>
      <c r="AP68" t="s">
        <v>285</v>
      </c>
      <c r="AQ68" t="s">
        <v>458</v>
      </c>
    </row>
    <row r="69" spans="3:43" x14ac:dyDescent="0.25">
      <c r="F69" s="18" t="s">
        <v>155</v>
      </c>
      <c r="G69" s="18"/>
      <c r="H69" s="18" t="s">
        <v>26</v>
      </c>
      <c r="I69" s="18" t="s">
        <v>26</v>
      </c>
      <c r="J69" s="18" t="s">
        <v>26</v>
      </c>
      <c r="K69" s="18"/>
      <c r="L69" s="18"/>
      <c r="M69">
        <v>4</v>
      </c>
      <c r="N69" t="s">
        <v>242</v>
      </c>
      <c r="P69" t="s">
        <v>148</v>
      </c>
      <c r="S69" t="s">
        <v>555</v>
      </c>
      <c r="T69" t="s">
        <v>289</v>
      </c>
      <c r="U69" t="s">
        <v>797</v>
      </c>
      <c r="V69" t="s">
        <v>545</v>
      </c>
      <c r="Z69" t="s">
        <v>864</v>
      </c>
      <c r="AB69" t="s">
        <v>405</v>
      </c>
      <c r="AN69" t="s">
        <v>865</v>
      </c>
      <c r="AO69" t="s">
        <v>240</v>
      </c>
      <c r="AP69" t="s">
        <v>698</v>
      </c>
      <c r="AQ69" t="s">
        <v>458</v>
      </c>
    </row>
    <row r="70" spans="3:43" x14ac:dyDescent="0.25">
      <c r="F70" s="18" t="s">
        <v>158</v>
      </c>
      <c r="G70" s="18"/>
      <c r="H70" s="18" t="s">
        <v>26</v>
      </c>
      <c r="I70" s="18" t="s">
        <v>26</v>
      </c>
      <c r="J70" s="18" t="s">
        <v>26</v>
      </c>
      <c r="K70" s="18"/>
      <c r="L70" s="18"/>
      <c r="M70">
        <v>5</v>
      </c>
      <c r="N70" t="s">
        <v>242</v>
      </c>
      <c r="P70" t="s">
        <v>149</v>
      </c>
      <c r="S70" t="s">
        <v>555</v>
      </c>
      <c r="T70" t="s">
        <v>498</v>
      </c>
      <c r="U70" t="s">
        <v>792</v>
      </c>
      <c r="V70" t="s">
        <v>404</v>
      </c>
      <c r="Z70" t="s">
        <v>873</v>
      </c>
      <c r="AB70" t="s">
        <v>414</v>
      </c>
      <c r="AN70" t="s">
        <v>874</v>
      </c>
      <c r="AO70" t="s">
        <v>240</v>
      </c>
      <c r="AP70" t="s">
        <v>250</v>
      </c>
      <c r="AQ70" t="s">
        <v>458</v>
      </c>
    </row>
    <row r="71" spans="3:43" x14ac:dyDescent="0.25">
      <c r="C71" t="s">
        <v>358</v>
      </c>
      <c r="D71" t="s">
        <v>622</v>
      </c>
      <c r="F71" s="18" t="s">
        <v>645</v>
      </c>
      <c r="G71" s="18"/>
      <c r="H71" s="18" t="s">
        <v>241</v>
      </c>
      <c r="I71" s="18" t="s">
        <v>241</v>
      </c>
      <c r="J71" s="18"/>
      <c r="K71" s="18"/>
      <c r="L71" s="18"/>
      <c r="M71">
        <v>6</v>
      </c>
      <c r="N71" t="s">
        <v>646</v>
      </c>
      <c r="T71" t="s">
        <v>647</v>
      </c>
      <c r="V71" t="s">
        <v>279</v>
      </c>
      <c r="AB71" t="s">
        <v>427</v>
      </c>
      <c r="AN71" t="s">
        <v>648</v>
      </c>
      <c r="AP71" t="s">
        <v>285</v>
      </c>
      <c r="AQ71" t="s">
        <v>649</v>
      </c>
    </row>
    <row r="72" spans="3:43" x14ac:dyDescent="0.25">
      <c r="C72" t="s">
        <v>358</v>
      </c>
      <c r="D72" t="s">
        <v>622</v>
      </c>
      <c r="F72" s="18" t="s">
        <v>650</v>
      </c>
      <c r="G72" s="18"/>
      <c r="H72" s="18" t="s">
        <v>241</v>
      </c>
      <c r="I72" s="18" t="s">
        <v>241</v>
      </c>
      <c r="J72" s="18"/>
      <c r="K72" s="18"/>
      <c r="L72" s="18"/>
      <c r="M72">
        <v>7</v>
      </c>
      <c r="N72" t="s">
        <v>651</v>
      </c>
      <c r="S72" t="s">
        <v>527</v>
      </c>
      <c r="T72" t="s">
        <v>652</v>
      </c>
      <c r="V72" t="s">
        <v>393</v>
      </c>
      <c r="AB72" t="s">
        <v>421</v>
      </c>
      <c r="AC72" t="s">
        <v>626</v>
      </c>
      <c r="AN72" t="s">
        <v>653</v>
      </c>
      <c r="AP72" t="s">
        <v>285</v>
      </c>
      <c r="AQ72" t="s">
        <v>530</v>
      </c>
    </row>
    <row r="73" spans="3:43" x14ac:dyDescent="0.25">
      <c r="D73" t="s">
        <v>96</v>
      </c>
      <c r="F73" s="18" t="s">
        <v>654</v>
      </c>
      <c r="G73" s="18" t="s">
        <v>302</v>
      </c>
      <c r="H73" s="18" t="s">
        <v>241</v>
      </c>
      <c r="I73" s="18" t="s">
        <v>241</v>
      </c>
      <c r="J73" s="18"/>
      <c r="K73" s="18"/>
      <c r="L73" s="18"/>
      <c r="M73">
        <v>44</v>
      </c>
      <c r="N73" t="s">
        <v>655</v>
      </c>
      <c r="R73" t="s">
        <v>631</v>
      </c>
      <c r="S73" t="s">
        <v>450</v>
      </c>
      <c r="T73" t="s">
        <v>498</v>
      </c>
      <c r="U73" t="s">
        <v>656</v>
      </c>
      <c r="V73" t="s">
        <v>334</v>
      </c>
      <c r="W73" t="s">
        <v>307</v>
      </c>
      <c r="Z73" t="s">
        <v>657</v>
      </c>
      <c r="AC73" t="s">
        <v>626</v>
      </c>
      <c r="AF73" t="s">
        <v>658</v>
      </c>
      <c r="AG73" t="s">
        <v>659</v>
      </c>
      <c r="AN73" t="s">
        <v>660</v>
      </c>
      <c r="AP73" t="s">
        <v>285</v>
      </c>
      <c r="AQ73" t="s">
        <v>315</v>
      </c>
    </row>
    <row r="74" spans="3:43" x14ac:dyDescent="0.25">
      <c r="C74" t="s">
        <v>672</v>
      </c>
      <c r="D74" t="s">
        <v>675</v>
      </c>
      <c r="F74" s="18" t="s">
        <v>133</v>
      </c>
      <c r="G74" s="18"/>
      <c r="H74" s="18"/>
      <c r="I74" s="18"/>
      <c r="J74" s="18" t="s">
        <v>26</v>
      </c>
      <c r="K74" s="18"/>
      <c r="L74" s="18"/>
      <c r="M74">
        <v>43</v>
      </c>
      <c r="N74" t="s">
        <v>242</v>
      </c>
      <c r="P74" t="s">
        <v>230</v>
      </c>
      <c r="R74" t="s">
        <v>330</v>
      </c>
      <c r="S74" t="s">
        <v>676</v>
      </c>
      <c r="T74" t="s">
        <v>677</v>
      </c>
      <c r="U74" t="s">
        <v>678</v>
      </c>
      <c r="V74" t="s">
        <v>633</v>
      </c>
      <c r="AD74" t="s">
        <v>679</v>
      </c>
      <c r="AF74" t="s">
        <v>680</v>
      </c>
      <c r="AG74" t="s">
        <v>681</v>
      </c>
      <c r="AI74" t="s">
        <v>310</v>
      </c>
      <c r="AN74" t="s">
        <v>682</v>
      </c>
      <c r="AO74" t="s">
        <v>240</v>
      </c>
      <c r="AP74" t="s">
        <v>250</v>
      </c>
      <c r="AQ74" t="s">
        <v>683</v>
      </c>
    </row>
    <row r="75" spans="3:43" x14ac:dyDescent="0.25">
      <c r="E75" s="7" t="s">
        <v>665</v>
      </c>
      <c r="F75" s="25" t="s">
        <v>129</v>
      </c>
      <c r="G75" s="18"/>
      <c r="H75" s="18"/>
      <c r="I75" s="18"/>
      <c r="J75" s="18" t="s">
        <v>26</v>
      </c>
      <c r="K75" s="18"/>
      <c r="L75" s="18"/>
      <c r="M75">
        <v>42</v>
      </c>
      <c r="N75" t="s">
        <v>242</v>
      </c>
      <c r="P75" t="s">
        <v>225</v>
      </c>
      <c r="R75" t="s">
        <v>666</v>
      </c>
      <c r="S75" t="s">
        <v>571</v>
      </c>
      <c r="T75" t="s">
        <v>667</v>
      </c>
      <c r="U75" t="s">
        <v>599</v>
      </c>
      <c r="AD75" t="s">
        <v>668</v>
      </c>
      <c r="AF75" t="s">
        <v>669</v>
      </c>
      <c r="AG75" t="s">
        <v>670</v>
      </c>
      <c r="AI75" t="s">
        <v>323</v>
      </c>
      <c r="AN75" t="s">
        <v>671</v>
      </c>
      <c r="AO75" t="s">
        <v>225</v>
      </c>
      <c r="AP75" t="s">
        <v>244</v>
      </c>
      <c r="AQ75" t="s">
        <v>575</v>
      </c>
    </row>
    <row r="76" spans="3:43" x14ac:dyDescent="0.25">
      <c r="F76" s="18" t="s">
        <v>125</v>
      </c>
      <c r="G76" s="18"/>
      <c r="H76" s="18"/>
      <c r="I76" s="18"/>
      <c r="J76" s="18" t="s">
        <v>26</v>
      </c>
      <c r="K76" s="18"/>
      <c r="L76" s="18"/>
      <c r="M76">
        <v>41</v>
      </c>
      <c r="N76" t="s">
        <v>636</v>
      </c>
      <c r="P76" t="s">
        <v>624</v>
      </c>
      <c r="R76" t="s">
        <v>637</v>
      </c>
      <c r="S76" t="s">
        <v>603</v>
      </c>
      <c r="T76" t="s">
        <v>638</v>
      </c>
      <c r="U76" s="11" t="s">
        <v>639</v>
      </c>
      <c r="V76" t="s">
        <v>640</v>
      </c>
      <c r="AC76" t="s">
        <v>453</v>
      </c>
      <c r="AF76" t="s">
        <v>641</v>
      </c>
      <c r="AH76" t="s">
        <v>642</v>
      </c>
      <c r="AI76" t="s">
        <v>493</v>
      </c>
      <c r="AN76" t="s">
        <v>643</v>
      </c>
      <c r="AO76" t="s">
        <v>240</v>
      </c>
      <c r="AP76" t="s">
        <v>285</v>
      </c>
      <c r="AQ76" t="s">
        <v>607</v>
      </c>
    </row>
    <row r="77" spans="3:43" x14ac:dyDescent="0.25">
      <c r="C77" t="s">
        <v>241</v>
      </c>
      <c r="D77" t="s">
        <v>559</v>
      </c>
      <c r="F77" s="18" t="s">
        <v>120</v>
      </c>
      <c r="G77" s="18"/>
      <c r="H77" s="18"/>
      <c r="I77" s="18"/>
      <c r="J77" s="18" t="s">
        <v>26</v>
      </c>
      <c r="K77" s="18"/>
      <c r="L77" s="18"/>
      <c r="M77">
        <v>40</v>
      </c>
      <c r="N77" t="s">
        <v>560</v>
      </c>
      <c r="P77" t="s">
        <v>543</v>
      </c>
      <c r="S77" t="s">
        <v>561</v>
      </c>
      <c r="T77" t="s">
        <v>562</v>
      </c>
      <c r="U77" s="11" t="s">
        <v>563</v>
      </c>
      <c r="V77" t="s">
        <v>564</v>
      </c>
      <c r="AC77" t="s">
        <v>383</v>
      </c>
      <c r="AF77" t="s">
        <v>565</v>
      </c>
      <c r="AH77" t="s">
        <v>492</v>
      </c>
      <c r="AI77" t="s">
        <v>375</v>
      </c>
      <c r="AN77" t="s">
        <v>566</v>
      </c>
      <c r="AO77" t="s">
        <v>240</v>
      </c>
      <c r="AP77" t="s">
        <v>285</v>
      </c>
      <c r="AQ77" t="s">
        <v>567</v>
      </c>
    </row>
    <row r="78" spans="3:43" x14ac:dyDescent="0.25">
      <c r="C78" t="s">
        <v>358</v>
      </c>
      <c r="D78" t="s">
        <v>684</v>
      </c>
      <c r="F78" s="18" t="s">
        <v>685</v>
      </c>
      <c r="G78" s="18"/>
      <c r="H78" s="18"/>
      <c r="I78" s="18"/>
      <c r="J78" s="18"/>
      <c r="K78" s="18"/>
      <c r="L78" s="18"/>
      <c r="M78">
        <v>39</v>
      </c>
      <c r="N78" t="s">
        <v>686</v>
      </c>
      <c r="S78" t="s">
        <v>538</v>
      </c>
      <c r="T78" t="s">
        <v>687</v>
      </c>
      <c r="U78" s="11" t="s">
        <v>688</v>
      </c>
      <c r="AC78" t="s">
        <v>309</v>
      </c>
      <c r="AF78" t="s">
        <v>689</v>
      </c>
      <c r="AH78" t="s">
        <v>509</v>
      </c>
      <c r="AI78" t="s">
        <v>367</v>
      </c>
      <c r="AN78" t="s">
        <v>690</v>
      </c>
      <c r="AP78" t="s">
        <v>285</v>
      </c>
      <c r="AQ78" t="s">
        <v>541</v>
      </c>
    </row>
    <row r="79" spans="3:43" x14ac:dyDescent="0.25">
      <c r="C79" t="s">
        <v>358</v>
      </c>
      <c r="D79" t="s">
        <v>691</v>
      </c>
      <c r="F79" s="18" t="s">
        <v>692</v>
      </c>
      <c r="G79" s="18"/>
      <c r="H79" s="18"/>
      <c r="I79" s="18"/>
      <c r="J79" s="18"/>
      <c r="K79" s="18"/>
      <c r="L79" s="18"/>
      <c r="M79">
        <v>38</v>
      </c>
      <c r="N79" t="s">
        <v>693</v>
      </c>
      <c r="S79" t="s">
        <v>514</v>
      </c>
      <c r="T79" t="s">
        <v>694</v>
      </c>
      <c r="U79" t="s">
        <v>319</v>
      </c>
      <c r="AC79" t="s">
        <v>322</v>
      </c>
      <c r="AF79" t="s">
        <v>695</v>
      </c>
      <c r="AH79" t="s">
        <v>529</v>
      </c>
      <c r="AI79" t="s">
        <v>534</v>
      </c>
      <c r="AN79" t="s">
        <v>696</v>
      </c>
      <c r="AP79" t="s">
        <v>285</v>
      </c>
      <c r="AQ79" t="s">
        <v>518</v>
      </c>
    </row>
    <row r="80" spans="3:43" x14ac:dyDescent="0.25">
      <c r="C80" t="s">
        <v>358</v>
      </c>
      <c r="D80" t="s">
        <v>96</v>
      </c>
      <c r="F80" s="18" t="s">
        <v>145</v>
      </c>
      <c r="G80" s="18"/>
      <c r="H80" s="18"/>
      <c r="I80" s="18"/>
      <c r="J80" s="18" t="s">
        <v>26</v>
      </c>
      <c r="K80" s="18"/>
      <c r="L80" s="18"/>
      <c r="M80">
        <v>37</v>
      </c>
      <c r="N80" t="s">
        <v>840</v>
      </c>
      <c r="P80" t="s">
        <v>243</v>
      </c>
      <c r="R80" t="s">
        <v>666</v>
      </c>
      <c r="S80" t="s">
        <v>419</v>
      </c>
      <c r="T80" t="s">
        <v>652</v>
      </c>
      <c r="U80" t="s">
        <v>841</v>
      </c>
      <c r="V80" t="s">
        <v>365</v>
      </c>
      <c r="AC80" t="s">
        <v>394</v>
      </c>
      <c r="AF80" t="s">
        <v>842</v>
      </c>
      <c r="AH80" t="s">
        <v>499</v>
      </c>
      <c r="AN80" t="s">
        <v>843</v>
      </c>
      <c r="AO80" t="s">
        <v>240</v>
      </c>
      <c r="AP80" t="s">
        <v>285</v>
      </c>
      <c r="AQ80" t="s">
        <v>424</v>
      </c>
    </row>
    <row r="81" spans="1:43" x14ac:dyDescent="0.25">
      <c r="C81" t="s">
        <v>160</v>
      </c>
      <c r="D81" t="s">
        <v>736</v>
      </c>
      <c r="F81" s="18" t="s">
        <v>738</v>
      </c>
      <c r="G81" s="18"/>
      <c r="H81" s="18"/>
      <c r="I81" s="18"/>
      <c r="J81" s="18" t="s">
        <v>26</v>
      </c>
      <c r="K81" s="18"/>
      <c r="L81" s="18"/>
      <c r="M81">
        <v>36</v>
      </c>
      <c r="N81" t="s">
        <v>739</v>
      </c>
      <c r="P81" t="s">
        <v>234</v>
      </c>
      <c r="R81" t="s">
        <v>637</v>
      </c>
      <c r="S81" t="s">
        <v>740</v>
      </c>
      <c r="T81" t="s">
        <v>647</v>
      </c>
      <c r="V81" t="s">
        <v>481</v>
      </c>
      <c r="AC81" t="s">
        <v>281</v>
      </c>
      <c r="AF81" t="s">
        <v>741</v>
      </c>
      <c r="AG81" t="s">
        <v>295</v>
      </c>
      <c r="AH81" t="s">
        <v>503</v>
      </c>
      <c r="AN81" t="s">
        <v>742</v>
      </c>
      <c r="AO81" t="s">
        <v>240</v>
      </c>
      <c r="AP81" t="s">
        <v>285</v>
      </c>
      <c r="AQ81" t="s">
        <v>743</v>
      </c>
    </row>
    <row r="82" spans="1:43" x14ac:dyDescent="0.25">
      <c r="A82" t="str">
        <f t="shared" ref="A82:A90" si="3">DEC2HEX(B82,2)</f>
        <v>0E</v>
      </c>
      <c r="B82">
        <v>14</v>
      </c>
      <c r="C82" s="6" t="s">
        <v>31</v>
      </c>
      <c r="D82" t="s">
        <v>96</v>
      </c>
      <c r="F82" s="18" t="s">
        <v>70</v>
      </c>
      <c r="G82" s="18" t="s">
        <v>26</v>
      </c>
      <c r="H82" s="18" t="s">
        <v>241</v>
      </c>
      <c r="I82" s="18" t="s">
        <v>241</v>
      </c>
      <c r="J82" s="18"/>
      <c r="K82" s="18"/>
      <c r="L82" s="18"/>
      <c r="M82">
        <v>140</v>
      </c>
      <c r="N82" t="s">
        <v>702</v>
      </c>
      <c r="S82" t="s">
        <v>351</v>
      </c>
      <c r="U82" t="s">
        <v>703</v>
      </c>
      <c r="W82" t="s">
        <v>82</v>
      </c>
      <c r="AA82" t="s">
        <v>463</v>
      </c>
      <c r="AG82" t="s">
        <v>295</v>
      </c>
      <c r="AI82" t="s">
        <v>297</v>
      </c>
      <c r="AJ82" t="s">
        <v>454</v>
      </c>
      <c r="AN82" t="s">
        <v>704</v>
      </c>
      <c r="AP82" t="s">
        <v>285</v>
      </c>
      <c r="AQ82" t="s">
        <v>705</v>
      </c>
    </row>
    <row r="83" spans="1:43" x14ac:dyDescent="0.25">
      <c r="A83" t="str">
        <f t="shared" si="3"/>
        <v>0F</v>
      </c>
      <c r="B83">
        <v>15</v>
      </c>
      <c r="C83" s="6" t="s">
        <v>32</v>
      </c>
      <c r="D83" t="s">
        <v>96</v>
      </c>
      <c r="F83" s="18" t="s">
        <v>71</v>
      </c>
      <c r="G83" s="18" t="s">
        <v>26</v>
      </c>
      <c r="H83" s="18" t="s">
        <v>241</v>
      </c>
      <c r="I83" s="18" t="s">
        <v>241</v>
      </c>
      <c r="J83" s="18" t="s">
        <v>241</v>
      </c>
      <c r="K83" s="18"/>
      <c r="L83" s="18"/>
      <c r="M83">
        <v>141</v>
      </c>
      <c r="N83" t="s">
        <v>706</v>
      </c>
      <c r="P83" t="s">
        <v>147</v>
      </c>
      <c r="S83" t="s">
        <v>341</v>
      </c>
      <c r="U83" t="s">
        <v>707</v>
      </c>
      <c r="W83" t="s">
        <v>83</v>
      </c>
      <c r="AG83" t="s">
        <v>437</v>
      </c>
      <c r="AI83" t="s">
        <v>439</v>
      </c>
      <c r="AJ83" t="s">
        <v>406</v>
      </c>
      <c r="AN83" t="s">
        <v>708</v>
      </c>
      <c r="AO83" t="s">
        <v>240</v>
      </c>
      <c r="AP83" t="s">
        <v>285</v>
      </c>
      <c r="AQ83" t="s">
        <v>709</v>
      </c>
    </row>
    <row r="84" spans="1:43" x14ac:dyDescent="0.25">
      <c r="A84" t="str">
        <f t="shared" si="3"/>
        <v>10</v>
      </c>
      <c r="B84">
        <v>16</v>
      </c>
      <c r="C84" s="28" t="s">
        <v>33</v>
      </c>
      <c r="F84" s="18" t="s">
        <v>72</v>
      </c>
      <c r="G84" s="18" t="s">
        <v>26</v>
      </c>
      <c r="H84" s="18" t="s">
        <v>26</v>
      </c>
      <c r="I84" s="18" t="s">
        <v>26</v>
      </c>
      <c r="J84" s="18" t="s">
        <v>26</v>
      </c>
      <c r="K84" s="18"/>
      <c r="L84" s="18"/>
      <c r="M84">
        <v>142</v>
      </c>
      <c r="P84" t="s">
        <v>259</v>
      </c>
      <c r="S84" t="s">
        <v>571</v>
      </c>
      <c r="U84" t="s">
        <v>710</v>
      </c>
      <c r="W84" t="s">
        <v>84</v>
      </c>
      <c r="AG84" t="s">
        <v>466</v>
      </c>
      <c r="AI84" t="s">
        <v>468</v>
      </c>
      <c r="AJ84" t="s">
        <v>311</v>
      </c>
      <c r="AP84" t="s">
        <v>263</v>
      </c>
      <c r="AQ84" t="s">
        <v>711</v>
      </c>
    </row>
    <row r="85" spans="1:43" x14ac:dyDescent="0.25">
      <c r="A85" t="str">
        <f t="shared" si="3"/>
        <v>11</v>
      </c>
      <c r="B85">
        <v>17</v>
      </c>
      <c r="C85" s="28" t="s">
        <v>34</v>
      </c>
      <c r="F85" s="18" t="s">
        <v>73</v>
      </c>
      <c r="G85" s="18" t="s">
        <v>26</v>
      </c>
      <c r="H85" s="18" t="s">
        <v>26</v>
      </c>
      <c r="I85" s="18" t="s">
        <v>26</v>
      </c>
      <c r="J85" s="18"/>
      <c r="K85" s="18"/>
      <c r="L85" s="18"/>
      <c r="M85">
        <v>143</v>
      </c>
      <c r="S85" t="s">
        <v>676</v>
      </c>
      <c r="U85" t="s">
        <v>712</v>
      </c>
      <c r="W85" t="s">
        <v>85</v>
      </c>
      <c r="Y85" t="s">
        <v>482</v>
      </c>
      <c r="AG85" t="s">
        <v>670</v>
      </c>
      <c r="AJ85" t="s">
        <v>384</v>
      </c>
      <c r="AP85" t="s">
        <v>263</v>
      </c>
      <c r="AQ85" t="s">
        <v>713</v>
      </c>
    </row>
    <row r="86" spans="1:43" x14ac:dyDescent="0.25">
      <c r="A86" t="str">
        <f t="shared" si="3"/>
        <v>12</v>
      </c>
      <c r="B86">
        <v>18</v>
      </c>
      <c r="C86" s="28" t="s">
        <v>35</v>
      </c>
      <c r="F86" s="18" t="s">
        <v>74</v>
      </c>
      <c r="G86" s="18" t="s">
        <v>26</v>
      </c>
      <c r="H86" s="18" t="s">
        <v>26</v>
      </c>
      <c r="I86" s="18" t="s">
        <v>26</v>
      </c>
      <c r="J86" s="18"/>
      <c r="K86" s="18"/>
      <c r="L86" s="18"/>
      <c r="M86">
        <v>144</v>
      </c>
      <c r="S86" t="s">
        <v>363</v>
      </c>
      <c r="U86" t="s">
        <v>714</v>
      </c>
      <c r="W86" t="s">
        <v>86</v>
      </c>
      <c r="Y86" t="s">
        <v>540</v>
      </c>
      <c r="AG86" t="s">
        <v>681</v>
      </c>
      <c r="AJ86" t="s">
        <v>395</v>
      </c>
      <c r="AK86" t="s">
        <v>715</v>
      </c>
      <c r="AP86" t="s">
        <v>263</v>
      </c>
      <c r="AQ86" t="s">
        <v>716</v>
      </c>
    </row>
    <row r="87" spans="1:43" x14ac:dyDescent="0.25">
      <c r="A87" t="str">
        <f t="shared" si="3"/>
        <v>13</v>
      </c>
      <c r="B87">
        <v>19</v>
      </c>
      <c r="C87" s="28" t="s">
        <v>36</v>
      </c>
      <c r="D87" t="s">
        <v>717</v>
      </c>
      <c r="F87" s="18" t="s">
        <v>75</v>
      </c>
      <c r="G87" s="18" t="s">
        <v>26</v>
      </c>
      <c r="H87" s="18" t="s">
        <v>26</v>
      </c>
      <c r="I87" s="18" t="s">
        <v>26</v>
      </c>
      <c r="J87" s="18" t="s">
        <v>26</v>
      </c>
      <c r="K87" s="18"/>
      <c r="L87" s="18"/>
      <c r="M87">
        <v>145</v>
      </c>
      <c r="N87" t="s">
        <v>718</v>
      </c>
      <c r="P87" t="s">
        <v>148</v>
      </c>
      <c r="S87" t="s">
        <v>371</v>
      </c>
      <c r="U87" t="s">
        <v>719</v>
      </c>
      <c r="W87" t="s">
        <v>87</v>
      </c>
      <c r="AJ87" t="s">
        <v>324</v>
      </c>
      <c r="AN87" t="s">
        <v>720</v>
      </c>
      <c r="AO87" t="s">
        <v>240</v>
      </c>
      <c r="AP87" t="s">
        <v>285</v>
      </c>
      <c r="AQ87" t="s">
        <v>721</v>
      </c>
    </row>
    <row r="88" spans="1:43" x14ac:dyDescent="0.25">
      <c r="A88" t="str">
        <f t="shared" si="3"/>
        <v>14</v>
      </c>
      <c r="B88">
        <v>20</v>
      </c>
      <c r="C88" s="28" t="s">
        <v>37</v>
      </c>
      <c r="D88" t="s">
        <v>717</v>
      </c>
      <c r="F88" s="18" t="s">
        <v>76</v>
      </c>
      <c r="G88" s="18" t="s">
        <v>26</v>
      </c>
      <c r="H88" s="18" t="s">
        <v>26</v>
      </c>
      <c r="I88" s="18" t="s">
        <v>26</v>
      </c>
      <c r="J88" s="18" t="s">
        <v>26</v>
      </c>
      <c r="K88" s="18"/>
      <c r="L88" s="18"/>
      <c r="M88">
        <v>146</v>
      </c>
      <c r="N88" t="s">
        <v>722</v>
      </c>
      <c r="P88" t="s">
        <v>149</v>
      </c>
      <c r="U88" t="s">
        <v>723</v>
      </c>
      <c r="W88" t="s">
        <v>88</v>
      </c>
      <c r="AN88" t="s">
        <v>724</v>
      </c>
      <c r="AO88" t="s">
        <v>240</v>
      </c>
      <c r="AP88" t="s">
        <v>285</v>
      </c>
      <c r="AQ88" t="s">
        <v>725</v>
      </c>
    </row>
    <row r="89" spans="1:43" x14ac:dyDescent="0.25">
      <c r="A89" t="str">
        <f t="shared" si="3"/>
        <v>15</v>
      </c>
      <c r="B89">
        <v>21</v>
      </c>
      <c r="C89" s="28" t="s">
        <v>38</v>
      </c>
      <c r="F89" s="18" t="s">
        <v>77</v>
      </c>
      <c r="G89" s="18" t="s">
        <v>26</v>
      </c>
      <c r="H89" s="18" t="s">
        <v>26</v>
      </c>
      <c r="I89" s="18" t="s">
        <v>26</v>
      </c>
      <c r="J89" s="18"/>
      <c r="K89" s="18"/>
      <c r="L89" s="18"/>
      <c r="M89">
        <v>147</v>
      </c>
      <c r="U89" t="s">
        <v>726</v>
      </c>
      <c r="W89" t="s">
        <v>89</v>
      </c>
      <c r="AP89" t="s">
        <v>263</v>
      </c>
      <c r="AQ89" t="s">
        <v>727</v>
      </c>
    </row>
    <row r="90" spans="1:43" x14ac:dyDescent="0.25">
      <c r="A90" t="str">
        <f t="shared" si="3"/>
        <v>16</v>
      </c>
      <c r="B90">
        <v>22</v>
      </c>
      <c r="C90" s="28" t="s">
        <v>39</v>
      </c>
      <c r="F90" s="18" t="s">
        <v>78</v>
      </c>
      <c r="G90" s="18" t="s">
        <v>26</v>
      </c>
      <c r="H90" s="18" t="s">
        <v>26</v>
      </c>
      <c r="I90" s="18" t="s">
        <v>26</v>
      </c>
      <c r="J90" s="18"/>
      <c r="K90" s="18"/>
      <c r="L90" s="18"/>
      <c r="M90">
        <v>148</v>
      </c>
      <c r="U90" t="s">
        <v>728</v>
      </c>
      <c r="W90" t="s">
        <v>90</v>
      </c>
      <c r="AP90" t="s">
        <v>263</v>
      </c>
      <c r="AQ90" t="s">
        <v>729</v>
      </c>
    </row>
    <row r="91" spans="1:43" x14ac:dyDescent="0.25">
      <c r="E91" s="7" t="s">
        <v>731</v>
      </c>
      <c r="F91" s="25" t="s">
        <v>159</v>
      </c>
      <c r="G91" s="18"/>
      <c r="H91" s="18" t="s">
        <v>26</v>
      </c>
      <c r="I91" s="18" t="s">
        <v>26</v>
      </c>
      <c r="J91" s="18" t="s">
        <v>26</v>
      </c>
      <c r="K91" s="18"/>
      <c r="L91" s="18"/>
      <c r="M91">
        <v>176</v>
      </c>
      <c r="N91" t="s">
        <v>875</v>
      </c>
      <c r="P91" t="s">
        <v>149</v>
      </c>
      <c r="R91" s="11" t="s">
        <v>288</v>
      </c>
      <c r="U91" t="s">
        <v>618</v>
      </c>
      <c r="V91" t="s">
        <v>365</v>
      </c>
      <c r="X91" t="s">
        <v>516</v>
      </c>
      <c r="AN91" t="s">
        <v>876</v>
      </c>
      <c r="AO91" t="s">
        <v>240</v>
      </c>
      <c r="AP91" t="s">
        <v>285</v>
      </c>
      <c r="AQ91" t="s">
        <v>877</v>
      </c>
    </row>
    <row r="92" spans="1:43" x14ac:dyDescent="0.25">
      <c r="E92" s="7" t="s">
        <v>737</v>
      </c>
      <c r="F92" s="25" t="s">
        <v>156</v>
      </c>
      <c r="G92" s="18"/>
      <c r="H92" s="18" t="s">
        <v>26</v>
      </c>
      <c r="I92" s="18" t="s">
        <v>26</v>
      </c>
      <c r="J92" s="18" t="s">
        <v>26</v>
      </c>
      <c r="K92" s="18"/>
      <c r="L92" s="18"/>
      <c r="M92">
        <v>175</v>
      </c>
      <c r="N92" t="s">
        <v>866</v>
      </c>
      <c r="P92" t="s">
        <v>148</v>
      </c>
      <c r="R92" s="11" t="s">
        <v>433</v>
      </c>
      <c r="U92" t="s">
        <v>484</v>
      </c>
      <c r="V92" t="s">
        <v>481</v>
      </c>
      <c r="X92" t="s">
        <v>373</v>
      </c>
      <c r="AN92" t="s">
        <v>867</v>
      </c>
      <c r="AO92" t="s">
        <v>240</v>
      </c>
      <c r="AP92" t="s">
        <v>285</v>
      </c>
      <c r="AQ92" t="s">
        <v>868</v>
      </c>
    </row>
    <row r="93" spans="1:43" x14ac:dyDescent="0.25">
      <c r="F93" s="18" t="s">
        <v>744</v>
      </c>
      <c r="G93" s="18"/>
      <c r="H93" s="18" t="s">
        <v>26</v>
      </c>
      <c r="I93" s="18" t="s">
        <v>26</v>
      </c>
      <c r="J93" s="18"/>
      <c r="K93" s="18"/>
      <c r="L93" s="18"/>
      <c r="M93">
        <v>174</v>
      </c>
      <c r="U93" t="s">
        <v>745</v>
      </c>
      <c r="AP93" t="s">
        <v>263</v>
      </c>
      <c r="AQ93" t="s">
        <v>746</v>
      </c>
    </row>
    <row r="94" spans="1:43" x14ac:dyDescent="0.25">
      <c r="C94" t="s">
        <v>241</v>
      </c>
      <c r="D94" t="s">
        <v>274</v>
      </c>
      <c r="F94" s="18" t="s">
        <v>747</v>
      </c>
      <c r="G94" s="18"/>
      <c r="H94" s="18"/>
      <c r="I94" s="18"/>
      <c r="J94" s="18"/>
      <c r="K94" s="18"/>
      <c r="L94" s="18"/>
      <c r="M94">
        <v>122</v>
      </c>
      <c r="N94" t="s">
        <v>748</v>
      </c>
      <c r="O94" t="s">
        <v>432</v>
      </c>
      <c r="S94" t="s">
        <v>749</v>
      </c>
      <c r="U94" t="s">
        <v>750</v>
      </c>
      <c r="V94" t="s">
        <v>633</v>
      </c>
      <c r="AA94" t="s">
        <v>463</v>
      </c>
      <c r="AK94" t="s">
        <v>751</v>
      </c>
      <c r="AL94" t="s">
        <v>752</v>
      </c>
      <c r="AN94" t="s">
        <v>753</v>
      </c>
      <c r="AP94" t="s">
        <v>285</v>
      </c>
      <c r="AQ94" t="s">
        <v>754</v>
      </c>
    </row>
    <row r="95" spans="1:43" x14ac:dyDescent="0.25">
      <c r="C95" t="s">
        <v>241</v>
      </c>
      <c r="D95" t="s">
        <v>274</v>
      </c>
      <c r="F95" s="18" t="s">
        <v>755</v>
      </c>
      <c r="G95" s="18"/>
      <c r="H95" s="18"/>
      <c r="I95" s="18"/>
      <c r="J95" s="18"/>
      <c r="K95" s="18"/>
      <c r="L95" s="18"/>
      <c r="M95">
        <v>121</v>
      </c>
      <c r="N95" t="s">
        <v>756</v>
      </c>
      <c r="S95" t="s">
        <v>514</v>
      </c>
      <c r="U95" t="s">
        <v>757</v>
      </c>
      <c r="V95" t="s">
        <v>334</v>
      </c>
      <c r="AK95" t="s">
        <v>758</v>
      </c>
      <c r="AL95" t="s">
        <v>759</v>
      </c>
      <c r="AN95" t="s">
        <v>760</v>
      </c>
      <c r="AP95" t="s">
        <v>285</v>
      </c>
      <c r="AQ95" t="s">
        <v>518</v>
      </c>
    </row>
    <row r="96" spans="1:43" x14ac:dyDescent="0.25">
      <c r="C96" t="s">
        <v>358</v>
      </c>
      <c r="D96" t="s">
        <v>274</v>
      </c>
      <c r="F96" s="18" t="s">
        <v>761</v>
      </c>
      <c r="G96" s="18"/>
      <c r="H96" s="18"/>
      <c r="I96" s="18"/>
      <c r="J96" s="18"/>
      <c r="K96" s="18"/>
      <c r="L96" s="18"/>
      <c r="M96">
        <v>120</v>
      </c>
      <c r="N96" t="s">
        <v>762</v>
      </c>
      <c r="S96" t="s">
        <v>763</v>
      </c>
      <c r="U96" t="s">
        <v>372</v>
      </c>
      <c r="V96" t="s">
        <v>550</v>
      </c>
      <c r="AK96" t="s">
        <v>764</v>
      </c>
      <c r="AL96" t="s">
        <v>408</v>
      </c>
      <c r="AN96" t="s">
        <v>765</v>
      </c>
      <c r="AP96" t="s">
        <v>285</v>
      </c>
      <c r="AQ96" t="s">
        <v>766</v>
      </c>
    </row>
    <row r="97" spans="3:43" x14ac:dyDescent="0.25">
      <c r="F97" s="18" t="s">
        <v>767</v>
      </c>
      <c r="G97" s="18"/>
      <c r="H97" s="18"/>
      <c r="I97" s="18"/>
      <c r="J97" s="18"/>
      <c r="K97" s="18"/>
      <c r="L97" s="18"/>
      <c r="M97">
        <v>119</v>
      </c>
      <c r="S97" t="s">
        <v>740</v>
      </c>
      <c r="U97" t="s">
        <v>364</v>
      </c>
      <c r="V97" t="s">
        <v>768</v>
      </c>
      <c r="AK97" t="s">
        <v>769</v>
      </c>
      <c r="AP97" t="s">
        <v>263</v>
      </c>
      <c r="AQ97" t="s">
        <v>743</v>
      </c>
    </row>
    <row r="98" spans="3:43" x14ac:dyDescent="0.25">
      <c r="F98" s="18" t="s">
        <v>770</v>
      </c>
      <c r="G98" s="18"/>
      <c r="H98" s="18"/>
      <c r="I98" s="18"/>
      <c r="J98" s="18"/>
      <c r="K98" s="18"/>
      <c r="L98" s="18"/>
      <c r="M98">
        <v>118</v>
      </c>
      <c r="S98" t="s">
        <v>578</v>
      </c>
      <c r="U98" t="s">
        <v>420</v>
      </c>
      <c r="V98" t="s">
        <v>343</v>
      </c>
      <c r="AK98" t="s">
        <v>771</v>
      </c>
      <c r="AP98" t="s">
        <v>263</v>
      </c>
      <c r="AQ98" t="s">
        <v>582</v>
      </c>
    </row>
    <row r="99" spans="3:43" x14ac:dyDescent="0.25">
      <c r="F99" s="18" t="s">
        <v>772</v>
      </c>
      <c r="G99" s="18"/>
      <c r="H99" s="18"/>
      <c r="I99" s="18"/>
      <c r="J99" s="18"/>
      <c r="K99" s="18"/>
      <c r="L99" s="18"/>
      <c r="M99">
        <v>117</v>
      </c>
      <c r="S99" t="s">
        <v>773</v>
      </c>
      <c r="U99" t="s">
        <v>774</v>
      </c>
      <c r="V99" t="s">
        <v>353</v>
      </c>
      <c r="AK99" t="s">
        <v>775</v>
      </c>
      <c r="AP99" t="s">
        <v>263</v>
      </c>
      <c r="AQ99" t="s">
        <v>776</v>
      </c>
    </row>
    <row r="100" spans="3:43" x14ac:dyDescent="0.25">
      <c r="F100" s="18" t="s">
        <v>777</v>
      </c>
      <c r="G100" s="18"/>
      <c r="H100" s="18"/>
      <c r="I100" s="18"/>
      <c r="J100" s="18"/>
      <c r="K100" s="18"/>
      <c r="L100" s="18"/>
      <c r="M100">
        <v>116</v>
      </c>
      <c r="U100" t="s">
        <v>352</v>
      </c>
      <c r="Z100" t="s">
        <v>657</v>
      </c>
      <c r="AP100" t="s">
        <v>263</v>
      </c>
      <c r="AQ100" t="s">
        <v>778</v>
      </c>
    </row>
    <row r="101" spans="3:43" x14ac:dyDescent="0.25">
      <c r="F101" s="18" t="s">
        <v>779</v>
      </c>
      <c r="G101" s="18"/>
      <c r="H101" s="18"/>
      <c r="I101" s="18"/>
      <c r="J101" s="18"/>
      <c r="K101" s="18"/>
      <c r="L101" s="18"/>
      <c r="M101">
        <v>115</v>
      </c>
      <c r="U101" t="s">
        <v>392</v>
      </c>
      <c r="AP101" t="s">
        <v>263</v>
      </c>
      <c r="AQ101" t="s">
        <v>780</v>
      </c>
    </row>
    <row r="102" spans="3:43" x14ac:dyDescent="0.25">
      <c r="E102" s="7" t="s">
        <v>975</v>
      </c>
      <c r="F102" s="25" t="s">
        <v>781</v>
      </c>
      <c r="G102" s="18"/>
      <c r="H102" s="18"/>
      <c r="I102" s="18"/>
      <c r="J102" s="18"/>
      <c r="K102" s="18"/>
      <c r="L102" s="18"/>
      <c r="M102">
        <v>99</v>
      </c>
      <c r="N102" t="s">
        <v>242</v>
      </c>
      <c r="V102" t="s">
        <v>462</v>
      </c>
      <c r="AK102" t="s">
        <v>782</v>
      </c>
      <c r="AN102" t="s">
        <v>783</v>
      </c>
      <c r="AP102" t="s">
        <v>250</v>
      </c>
      <c r="AQ102" t="s">
        <v>784</v>
      </c>
    </row>
    <row r="103" spans="3:43" x14ac:dyDescent="0.25">
      <c r="F103" s="18" t="s">
        <v>785</v>
      </c>
      <c r="G103" s="18"/>
      <c r="H103" s="18"/>
      <c r="I103" s="18"/>
      <c r="J103" s="18"/>
      <c r="K103" s="18"/>
      <c r="L103" s="18"/>
      <c r="M103">
        <v>100</v>
      </c>
      <c r="N103" t="s">
        <v>786</v>
      </c>
      <c r="S103" t="s">
        <v>527</v>
      </c>
      <c r="V103" t="s">
        <v>381</v>
      </c>
      <c r="X103" t="s">
        <v>373</v>
      </c>
      <c r="AK103" t="s">
        <v>787</v>
      </c>
      <c r="AL103" t="s">
        <v>788</v>
      </c>
      <c r="AN103" t="s">
        <v>789</v>
      </c>
      <c r="AP103" t="s">
        <v>285</v>
      </c>
      <c r="AQ103" t="s">
        <v>530</v>
      </c>
    </row>
    <row r="104" spans="3:43" x14ac:dyDescent="0.25">
      <c r="F104" s="18" t="s">
        <v>790</v>
      </c>
      <c r="G104" s="18"/>
      <c r="H104" s="18"/>
      <c r="I104" s="18"/>
      <c r="J104" s="18"/>
      <c r="K104" s="18"/>
      <c r="L104" s="18"/>
      <c r="M104">
        <v>101</v>
      </c>
      <c r="N104" t="s">
        <v>791</v>
      </c>
      <c r="S104" t="s">
        <v>773</v>
      </c>
      <c r="U104" t="s">
        <v>792</v>
      </c>
      <c r="V104" t="s">
        <v>452</v>
      </c>
      <c r="X104" t="s">
        <v>516</v>
      </c>
      <c r="AK104" t="s">
        <v>793</v>
      </c>
      <c r="AL104" t="s">
        <v>794</v>
      </c>
      <c r="AN104" t="s">
        <v>795</v>
      </c>
      <c r="AP104" t="s">
        <v>285</v>
      </c>
      <c r="AQ104" t="s">
        <v>776</v>
      </c>
    </row>
    <row r="105" spans="3:43" x14ac:dyDescent="0.25">
      <c r="F105" s="18" t="s">
        <v>796</v>
      </c>
      <c r="G105" s="18"/>
      <c r="H105" s="18"/>
      <c r="I105" s="18"/>
      <c r="J105" s="18"/>
      <c r="K105" s="18"/>
      <c r="L105" s="18"/>
      <c r="M105">
        <v>102</v>
      </c>
      <c r="N105" t="s">
        <v>242</v>
      </c>
      <c r="O105" t="s">
        <v>432</v>
      </c>
      <c r="S105" t="s">
        <v>763</v>
      </c>
      <c r="U105" t="s">
        <v>797</v>
      </c>
      <c r="AA105" t="s">
        <v>463</v>
      </c>
      <c r="AN105" t="s">
        <v>798</v>
      </c>
      <c r="AP105" t="s">
        <v>250</v>
      </c>
      <c r="AQ105" t="s">
        <v>766</v>
      </c>
    </row>
    <row r="106" spans="3:43" x14ac:dyDescent="0.25">
      <c r="F106" s="18" t="s">
        <v>799</v>
      </c>
      <c r="G106" s="18"/>
      <c r="H106" s="18"/>
      <c r="I106" s="18"/>
      <c r="J106" s="18"/>
      <c r="K106" s="18"/>
      <c r="L106" s="18"/>
      <c r="M106">
        <v>103</v>
      </c>
      <c r="S106" t="s">
        <v>277</v>
      </c>
      <c r="U106" t="s">
        <v>800</v>
      </c>
      <c r="AK106" t="s">
        <v>801</v>
      </c>
      <c r="AP106" t="s">
        <v>263</v>
      </c>
      <c r="AQ106" t="s">
        <v>286</v>
      </c>
    </row>
    <row r="107" spans="3:43" x14ac:dyDescent="0.25">
      <c r="C107" t="s">
        <v>358</v>
      </c>
      <c r="D107" t="s">
        <v>802</v>
      </c>
      <c r="F107" s="18" t="s">
        <v>803</v>
      </c>
      <c r="G107" s="18"/>
      <c r="H107" s="18"/>
      <c r="I107" s="18"/>
      <c r="J107" s="18"/>
      <c r="K107" s="18"/>
      <c r="L107" s="18"/>
      <c r="M107">
        <v>104</v>
      </c>
      <c r="N107" t="s">
        <v>804</v>
      </c>
      <c r="S107" t="s">
        <v>434</v>
      </c>
      <c r="U107" s="11" t="s">
        <v>805</v>
      </c>
      <c r="AK107" t="s">
        <v>806</v>
      </c>
      <c r="AN107" t="s">
        <v>807</v>
      </c>
      <c r="AP107" t="s">
        <v>285</v>
      </c>
      <c r="AQ107" t="s">
        <v>442</v>
      </c>
    </row>
    <row r="108" spans="3:43" x14ac:dyDescent="0.25">
      <c r="C108" t="s">
        <v>358</v>
      </c>
      <c r="D108" t="s">
        <v>802</v>
      </c>
      <c r="F108" s="18" t="s">
        <v>808</v>
      </c>
      <c r="G108" s="18"/>
      <c r="H108" s="18"/>
      <c r="I108" s="18"/>
      <c r="J108" s="18"/>
      <c r="K108" s="18"/>
      <c r="L108" s="18"/>
      <c r="M108">
        <v>105</v>
      </c>
      <c r="N108" t="s">
        <v>809</v>
      </c>
      <c r="S108" t="s">
        <v>304</v>
      </c>
      <c r="U108" s="11" t="s">
        <v>810</v>
      </c>
      <c r="AK108" t="s">
        <v>811</v>
      </c>
      <c r="AN108" t="s">
        <v>812</v>
      </c>
      <c r="AP108" t="s">
        <v>285</v>
      </c>
      <c r="AQ108" t="s">
        <v>813</v>
      </c>
    </row>
    <row r="109" spans="3:43" x14ac:dyDescent="0.25">
      <c r="F109" s="18" t="s">
        <v>134</v>
      </c>
      <c r="G109" s="18"/>
      <c r="H109" s="18"/>
      <c r="I109" s="18"/>
      <c r="J109" s="18" t="s">
        <v>26</v>
      </c>
      <c r="K109" s="18"/>
      <c r="L109" s="18"/>
      <c r="M109">
        <v>106</v>
      </c>
      <c r="N109" t="s">
        <v>242</v>
      </c>
      <c r="P109" t="s">
        <v>230</v>
      </c>
      <c r="AG109" t="s">
        <v>295</v>
      </c>
      <c r="AN109" t="s">
        <v>697</v>
      </c>
      <c r="AO109" t="s">
        <v>240</v>
      </c>
      <c r="AP109" t="s">
        <v>698</v>
      </c>
      <c r="AQ109" t="s">
        <v>699</v>
      </c>
    </row>
    <row r="110" spans="3:43" x14ac:dyDescent="0.25">
      <c r="C110" t="s">
        <v>358</v>
      </c>
      <c r="D110" t="s">
        <v>622</v>
      </c>
      <c r="F110" s="18" t="s">
        <v>819</v>
      </c>
      <c r="G110" s="18"/>
      <c r="H110" s="18" t="s">
        <v>241</v>
      </c>
      <c r="I110" s="18" t="s">
        <v>241</v>
      </c>
      <c r="J110" s="18"/>
      <c r="K110" s="18"/>
      <c r="L110" s="18"/>
      <c r="M110">
        <v>8</v>
      </c>
      <c r="N110" t="s">
        <v>820</v>
      </c>
      <c r="S110" t="s">
        <v>773</v>
      </c>
      <c r="T110" t="s">
        <v>694</v>
      </c>
      <c r="V110" t="s">
        <v>381</v>
      </c>
      <c r="AC110" t="s">
        <v>517</v>
      </c>
      <c r="AN110" t="s">
        <v>821</v>
      </c>
      <c r="AP110" t="s">
        <v>285</v>
      </c>
      <c r="AQ110" t="s">
        <v>776</v>
      </c>
    </row>
    <row r="111" spans="3:43" x14ac:dyDescent="0.25">
      <c r="C111" t="s">
        <v>358</v>
      </c>
      <c r="D111" t="s">
        <v>622</v>
      </c>
      <c r="F111" s="18" t="s">
        <v>822</v>
      </c>
      <c r="G111" s="18"/>
      <c r="H111" s="18" t="s">
        <v>241</v>
      </c>
      <c r="I111" s="18" t="s">
        <v>241</v>
      </c>
      <c r="J111" s="18"/>
      <c r="K111" s="18"/>
      <c r="L111" s="18"/>
      <c r="M111">
        <v>9</v>
      </c>
      <c r="N111" t="s">
        <v>823</v>
      </c>
      <c r="S111" t="s">
        <v>763</v>
      </c>
      <c r="T111" t="s">
        <v>687</v>
      </c>
      <c r="V111" t="s">
        <v>452</v>
      </c>
      <c r="AC111" t="s">
        <v>374</v>
      </c>
      <c r="AN111" t="s">
        <v>824</v>
      </c>
      <c r="AP111" t="s">
        <v>285</v>
      </c>
      <c r="AQ111" t="s">
        <v>766</v>
      </c>
    </row>
    <row r="112" spans="3:43" x14ac:dyDescent="0.25">
      <c r="C112" t="s">
        <v>358</v>
      </c>
      <c r="D112" t="s">
        <v>622</v>
      </c>
      <c r="F112" s="18" t="s">
        <v>825</v>
      </c>
      <c r="G112" s="18"/>
      <c r="H112" s="18" t="s">
        <v>241</v>
      </c>
      <c r="I112" s="18" t="s">
        <v>241</v>
      </c>
      <c r="J112" s="18"/>
      <c r="K112" s="18"/>
      <c r="L112" s="18"/>
      <c r="M112">
        <v>10</v>
      </c>
      <c r="N112" t="s">
        <v>826</v>
      </c>
      <c r="S112" t="s">
        <v>277</v>
      </c>
      <c r="T112" t="s">
        <v>562</v>
      </c>
      <c r="V112" t="s">
        <v>334</v>
      </c>
      <c r="AC112" t="s">
        <v>464</v>
      </c>
      <c r="AN112" t="s">
        <v>827</v>
      </c>
      <c r="AP112" t="s">
        <v>285</v>
      </c>
      <c r="AQ112" t="s">
        <v>286</v>
      </c>
    </row>
    <row r="113" spans="1:45" x14ac:dyDescent="0.25">
      <c r="C113" t="s">
        <v>358</v>
      </c>
      <c r="D113" t="s">
        <v>622</v>
      </c>
      <c r="F113" s="18" t="s">
        <v>828</v>
      </c>
      <c r="G113" s="18"/>
      <c r="H113" s="18" t="s">
        <v>241</v>
      </c>
      <c r="I113" s="18" t="s">
        <v>241</v>
      </c>
      <c r="J113" s="18"/>
      <c r="K113" s="18"/>
      <c r="L113" s="18"/>
      <c r="M113">
        <v>11</v>
      </c>
      <c r="N113" t="s">
        <v>829</v>
      </c>
      <c r="S113" t="s">
        <v>434</v>
      </c>
      <c r="T113" t="s">
        <v>638</v>
      </c>
      <c r="V113" t="s">
        <v>633</v>
      </c>
      <c r="AC113" t="s">
        <v>366</v>
      </c>
      <c r="AN113" t="s">
        <v>830</v>
      </c>
      <c r="AP113" t="s">
        <v>285</v>
      </c>
      <c r="AQ113" t="s">
        <v>442</v>
      </c>
    </row>
    <row r="114" spans="1:45" x14ac:dyDescent="0.25">
      <c r="C114" t="s">
        <v>358</v>
      </c>
      <c r="D114" t="s">
        <v>622</v>
      </c>
      <c r="F114" s="18" t="s">
        <v>831</v>
      </c>
      <c r="G114" s="18"/>
      <c r="H114" s="18" t="s">
        <v>241</v>
      </c>
      <c r="I114" s="18" t="s">
        <v>241</v>
      </c>
      <c r="J114" s="18"/>
      <c r="K114" s="18"/>
      <c r="L114" s="18"/>
      <c r="M114">
        <v>12</v>
      </c>
      <c r="N114" t="s">
        <v>832</v>
      </c>
      <c r="S114" t="s">
        <v>304</v>
      </c>
      <c r="T114" t="s">
        <v>667</v>
      </c>
      <c r="X114" t="s">
        <v>321</v>
      </c>
      <c r="AC114" t="s">
        <v>292</v>
      </c>
      <c r="AN114" t="s">
        <v>833</v>
      </c>
      <c r="AP114" t="s">
        <v>285</v>
      </c>
      <c r="AQ114" t="s">
        <v>813</v>
      </c>
    </row>
    <row r="115" spans="1:45" x14ac:dyDescent="0.25">
      <c r="C115" t="s">
        <v>358</v>
      </c>
      <c r="D115" t="s">
        <v>622</v>
      </c>
      <c r="F115" s="18" t="s">
        <v>834</v>
      </c>
      <c r="G115" s="18"/>
      <c r="H115" s="18" t="s">
        <v>241</v>
      </c>
      <c r="I115" s="18" t="s">
        <v>241</v>
      </c>
      <c r="J115" s="18"/>
      <c r="K115" s="18"/>
      <c r="L115" s="18"/>
      <c r="M115">
        <v>13</v>
      </c>
      <c r="N115" t="s">
        <v>835</v>
      </c>
      <c r="S115" t="s">
        <v>450</v>
      </c>
      <c r="T115" t="s">
        <v>677</v>
      </c>
      <c r="U115" t="s">
        <v>836</v>
      </c>
      <c r="X115" t="s">
        <v>308</v>
      </c>
      <c r="AC115" t="s">
        <v>485</v>
      </c>
      <c r="AN115" t="s">
        <v>837</v>
      </c>
      <c r="AP115" t="s">
        <v>285</v>
      </c>
      <c r="AQ115" t="s">
        <v>458</v>
      </c>
    </row>
    <row r="116" spans="1:45" x14ac:dyDescent="0.25">
      <c r="F116" s="18" t="s">
        <v>135</v>
      </c>
      <c r="G116" s="18"/>
      <c r="H116" s="18"/>
      <c r="I116" s="18"/>
      <c r="J116" s="18" t="s">
        <v>26</v>
      </c>
      <c r="K116" s="18"/>
      <c r="L116" s="18"/>
      <c r="M116">
        <v>14</v>
      </c>
      <c r="N116" t="s">
        <v>242</v>
      </c>
      <c r="P116" t="s">
        <v>230</v>
      </c>
      <c r="U116" t="s">
        <v>593</v>
      </c>
      <c r="AD116" t="s">
        <v>700</v>
      </c>
      <c r="AN116" t="s">
        <v>701</v>
      </c>
      <c r="AO116" t="s">
        <v>230</v>
      </c>
      <c r="AP116" t="s">
        <v>244</v>
      </c>
      <c r="AQ116" t="s">
        <v>699</v>
      </c>
    </row>
    <row r="117" spans="1:45" x14ac:dyDescent="0.25">
      <c r="C117" t="s">
        <v>241</v>
      </c>
      <c r="D117" s="10" t="s">
        <v>814</v>
      </c>
      <c r="E117" t="s">
        <v>141</v>
      </c>
      <c r="F117" s="18" t="s">
        <v>140</v>
      </c>
      <c r="G117" s="18"/>
      <c r="H117" s="18"/>
      <c r="I117" s="18"/>
      <c r="J117" s="18" t="s">
        <v>26</v>
      </c>
      <c r="K117" s="18"/>
      <c r="L117" s="18"/>
      <c r="M117">
        <v>15</v>
      </c>
      <c r="N117" t="s">
        <v>815</v>
      </c>
      <c r="P117" t="s">
        <v>234</v>
      </c>
      <c r="U117" t="s">
        <v>599</v>
      </c>
      <c r="AD117" t="s">
        <v>816</v>
      </c>
      <c r="AN117" t="s">
        <v>817</v>
      </c>
      <c r="AO117" t="s">
        <v>240</v>
      </c>
      <c r="AP117" t="s">
        <v>285</v>
      </c>
      <c r="AQ117" t="s">
        <v>818</v>
      </c>
    </row>
    <row r="118" spans="1:45" x14ac:dyDescent="0.25">
      <c r="F118" s="18" t="s">
        <v>154</v>
      </c>
      <c r="G118" s="18"/>
      <c r="H118" s="18"/>
      <c r="I118" s="18"/>
      <c r="J118" s="18" t="s">
        <v>26</v>
      </c>
      <c r="K118" s="18"/>
      <c r="L118" s="18"/>
      <c r="M118">
        <v>35</v>
      </c>
      <c r="N118" t="s">
        <v>859</v>
      </c>
      <c r="P118" t="s">
        <v>147</v>
      </c>
      <c r="Q118" t="s">
        <v>329</v>
      </c>
      <c r="U118" t="s">
        <v>539</v>
      </c>
      <c r="AA118" t="s">
        <v>463</v>
      </c>
      <c r="AC118" t="s">
        <v>344</v>
      </c>
      <c r="AE118" t="s">
        <v>293</v>
      </c>
      <c r="AF118" t="s">
        <v>860</v>
      </c>
      <c r="AN118" t="s">
        <v>861</v>
      </c>
      <c r="AO118" t="s">
        <v>240</v>
      </c>
      <c r="AP118" t="s">
        <v>285</v>
      </c>
      <c r="AQ118" t="s">
        <v>862</v>
      </c>
    </row>
    <row r="119" spans="1:45" x14ac:dyDescent="0.25">
      <c r="A119" t="str">
        <f t="shared" ref="A119:A120" si="4">DEC2HEX(B119,2)</f>
        <v>17</v>
      </c>
      <c r="B119">
        <v>23</v>
      </c>
      <c r="C119" s="28" t="s">
        <v>40</v>
      </c>
      <c r="F119" s="18" t="s">
        <v>79</v>
      </c>
      <c r="G119" s="18" t="s">
        <v>26</v>
      </c>
      <c r="H119" s="18"/>
      <c r="I119" s="18"/>
      <c r="J119" s="18"/>
      <c r="K119" s="18"/>
      <c r="L119" s="18"/>
      <c r="M119">
        <v>133</v>
      </c>
      <c r="S119" t="s">
        <v>592</v>
      </c>
      <c r="U119" t="s">
        <v>841</v>
      </c>
      <c r="W119" t="s">
        <v>91</v>
      </c>
      <c r="AK119" t="s">
        <v>844</v>
      </c>
      <c r="AP119" t="s">
        <v>263</v>
      </c>
      <c r="AQ119" t="s">
        <v>845</v>
      </c>
    </row>
    <row r="120" spans="1:45" x14ac:dyDescent="0.25">
      <c r="A120" t="str">
        <f t="shared" si="4"/>
        <v>18</v>
      </c>
      <c r="B120">
        <v>24</v>
      </c>
      <c r="C120" s="28" t="s">
        <v>11</v>
      </c>
      <c r="F120" s="18" t="s">
        <v>80</v>
      </c>
      <c r="G120" s="18" t="s">
        <v>26</v>
      </c>
      <c r="H120" s="18"/>
      <c r="I120" s="18"/>
      <c r="J120" s="18"/>
      <c r="K120" s="18"/>
      <c r="L120" s="18"/>
      <c r="M120">
        <v>134</v>
      </c>
      <c r="S120" t="s">
        <v>585</v>
      </c>
      <c r="U120" t="s">
        <v>774</v>
      </c>
      <c r="W120" t="s">
        <v>92</v>
      </c>
      <c r="AK120" t="s">
        <v>846</v>
      </c>
      <c r="AP120" t="s">
        <v>263</v>
      </c>
      <c r="AQ120" t="s">
        <v>847</v>
      </c>
    </row>
    <row r="121" spans="1:45" x14ac:dyDescent="0.25">
      <c r="F121" s="18" t="s">
        <v>81</v>
      </c>
      <c r="G121" s="18" t="s">
        <v>26</v>
      </c>
      <c r="H121" s="18"/>
      <c r="I121" s="18"/>
      <c r="J121" s="18" t="s">
        <v>26</v>
      </c>
      <c r="K121" s="18"/>
      <c r="L121" s="18"/>
      <c r="M121">
        <v>135</v>
      </c>
      <c r="P121" t="s">
        <v>513</v>
      </c>
      <c r="W121" t="s">
        <v>94</v>
      </c>
      <c r="AP121" t="s">
        <v>263</v>
      </c>
      <c r="AQ121" t="s">
        <v>848</v>
      </c>
    </row>
    <row r="122" spans="1:45" x14ac:dyDescent="0.25">
      <c r="F122" s="18" t="s">
        <v>93</v>
      </c>
      <c r="G122" s="18" t="s">
        <v>26</v>
      </c>
      <c r="H122" s="18"/>
      <c r="I122" s="18"/>
      <c r="J122" s="18" t="s">
        <v>26</v>
      </c>
      <c r="K122" s="18"/>
      <c r="L122" s="18"/>
      <c r="M122">
        <v>136</v>
      </c>
      <c r="P122" t="s">
        <v>449</v>
      </c>
      <c r="W122" t="s">
        <v>95</v>
      </c>
      <c r="AP122" t="s">
        <v>263</v>
      </c>
      <c r="AQ122" t="s">
        <v>849</v>
      </c>
    </row>
    <row r="123" spans="1:45" x14ac:dyDescent="0.25">
      <c r="F123" s="18" t="s">
        <v>108</v>
      </c>
      <c r="G123" s="18"/>
      <c r="H123" s="18"/>
      <c r="I123" s="18"/>
      <c r="J123" s="18" t="s">
        <v>26</v>
      </c>
      <c r="K123" s="18"/>
      <c r="L123" s="18"/>
      <c r="M123">
        <v>137</v>
      </c>
      <c r="P123" t="s">
        <v>378</v>
      </c>
      <c r="AP123" t="s">
        <v>263</v>
      </c>
      <c r="AQ123" t="s">
        <v>447</v>
      </c>
      <c r="AS123" t="s">
        <v>240</v>
      </c>
    </row>
    <row r="124" spans="1:45" x14ac:dyDescent="0.25">
      <c r="F124" s="18" t="s">
        <v>851</v>
      </c>
      <c r="G124" s="18"/>
      <c r="H124" s="18"/>
      <c r="I124" s="18"/>
      <c r="J124" s="18"/>
      <c r="K124" s="18"/>
      <c r="L124" s="18"/>
      <c r="M124">
        <v>173</v>
      </c>
      <c r="U124" t="s">
        <v>707</v>
      </c>
      <c r="AP124" t="s">
        <v>263</v>
      </c>
      <c r="AQ124" t="s">
        <v>852</v>
      </c>
    </row>
    <row r="125" spans="1:45" x14ac:dyDescent="0.25">
      <c r="C125" t="s">
        <v>241</v>
      </c>
      <c r="D125" t="s">
        <v>274</v>
      </c>
      <c r="F125" s="18" t="s">
        <v>102</v>
      </c>
      <c r="G125" s="18"/>
      <c r="H125" s="18"/>
      <c r="I125" s="18"/>
      <c r="J125" s="18" t="s">
        <v>26</v>
      </c>
      <c r="K125" s="18"/>
      <c r="L125" s="18"/>
      <c r="M125">
        <v>172</v>
      </c>
      <c r="P125" t="s">
        <v>276</v>
      </c>
      <c r="AP125" t="s">
        <v>263</v>
      </c>
      <c r="AQ125" t="s">
        <v>338</v>
      </c>
      <c r="AS125" t="s">
        <v>240</v>
      </c>
    </row>
    <row r="126" spans="1:45" x14ac:dyDescent="0.25">
      <c r="F126" s="18" t="s">
        <v>854</v>
      </c>
      <c r="G126" s="18"/>
      <c r="H126" s="18"/>
      <c r="I126" s="18"/>
      <c r="J126" s="18"/>
      <c r="K126" s="18"/>
      <c r="L126" s="18"/>
      <c r="M126">
        <v>58</v>
      </c>
      <c r="U126" t="s">
        <v>484</v>
      </c>
      <c r="AK126" t="s">
        <v>855</v>
      </c>
      <c r="AP126" t="s">
        <v>263</v>
      </c>
      <c r="AQ126" t="s">
        <v>856</v>
      </c>
    </row>
    <row r="127" spans="1:45" x14ac:dyDescent="0.25">
      <c r="F127" s="18" t="s">
        <v>857</v>
      </c>
      <c r="G127" s="18"/>
      <c r="H127" s="18"/>
      <c r="I127" s="18"/>
      <c r="J127" s="18"/>
      <c r="K127" s="18"/>
      <c r="L127" s="18"/>
      <c r="M127">
        <v>59</v>
      </c>
      <c r="S127" t="s">
        <v>331</v>
      </c>
      <c r="U127" t="s">
        <v>858</v>
      </c>
      <c r="AP127" t="s">
        <v>263</v>
      </c>
      <c r="AQ127" t="s">
        <v>471</v>
      </c>
    </row>
    <row r="128" spans="1:45" x14ac:dyDescent="0.25">
      <c r="C128" t="s">
        <v>358</v>
      </c>
      <c r="D128" t="s">
        <v>622</v>
      </c>
      <c r="F128" s="18" t="s">
        <v>142</v>
      </c>
      <c r="G128" s="18"/>
      <c r="H128" s="18"/>
      <c r="I128" s="18"/>
      <c r="J128" s="18" t="s">
        <v>26</v>
      </c>
      <c r="K128" s="18"/>
      <c r="L128" s="18"/>
      <c r="M128">
        <v>73</v>
      </c>
      <c r="N128" t="s">
        <v>242</v>
      </c>
      <c r="P128" t="s">
        <v>234</v>
      </c>
      <c r="AG128" t="s">
        <v>681</v>
      </c>
      <c r="AN128" t="s">
        <v>838</v>
      </c>
      <c r="AO128" t="s">
        <v>234</v>
      </c>
      <c r="AP128" t="s">
        <v>244</v>
      </c>
      <c r="AQ128" t="s">
        <v>818</v>
      </c>
    </row>
    <row r="129" spans="3:50" x14ac:dyDescent="0.25">
      <c r="F129" s="18" t="s">
        <v>150</v>
      </c>
      <c r="G129" s="18"/>
      <c r="H129" s="18"/>
      <c r="I129" s="18"/>
      <c r="J129" s="18" t="s">
        <v>26</v>
      </c>
      <c r="K129" s="18"/>
      <c r="L129" s="18"/>
      <c r="M129">
        <v>72</v>
      </c>
      <c r="P129" t="s">
        <v>243</v>
      </c>
      <c r="AG129" t="s">
        <v>670</v>
      </c>
      <c r="AP129" t="s">
        <v>263</v>
      </c>
      <c r="AQ129" t="s">
        <v>850</v>
      </c>
    </row>
    <row r="130" spans="3:50" x14ac:dyDescent="0.25">
      <c r="F130" s="18" t="s">
        <v>151</v>
      </c>
      <c r="G130" s="18"/>
      <c r="H130" s="18"/>
      <c r="I130" s="18"/>
      <c r="J130" s="18" t="s">
        <v>26</v>
      </c>
      <c r="K130" s="18"/>
      <c r="L130" s="18"/>
      <c r="M130">
        <v>71</v>
      </c>
      <c r="P130" t="s">
        <v>146</v>
      </c>
      <c r="AD130" t="s">
        <v>679</v>
      </c>
      <c r="AP130" t="s">
        <v>263</v>
      </c>
      <c r="AQ130" t="s">
        <v>853</v>
      </c>
    </row>
    <row r="131" spans="3:50" x14ac:dyDescent="0.25">
      <c r="F131" s="18" t="s">
        <v>153</v>
      </c>
      <c r="G131" s="18"/>
      <c r="H131" s="18"/>
      <c r="I131" s="18"/>
      <c r="J131" s="18" t="s">
        <v>26</v>
      </c>
      <c r="K131" s="18"/>
      <c r="L131" s="18"/>
      <c r="M131">
        <v>70</v>
      </c>
      <c r="P131" t="s">
        <v>147</v>
      </c>
      <c r="AD131" t="s">
        <v>668</v>
      </c>
      <c r="AP131" t="s">
        <v>263</v>
      </c>
      <c r="AQ131" t="s">
        <v>863</v>
      </c>
    </row>
    <row r="132" spans="3:50" x14ac:dyDescent="0.25">
      <c r="F132" s="18" t="s">
        <v>869</v>
      </c>
      <c r="G132" s="18"/>
      <c r="H132" s="18"/>
      <c r="I132" s="18"/>
      <c r="J132" s="18"/>
      <c r="K132" s="18"/>
      <c r="L132" s="18"/>
      <c r="M132">
        <v>114</v>
      </c>
      <c r="U132" t="s">
        <v>278</v>
      </c>
      <c r="AP132" t="s">
        <v>263</v>
      </c>
      <c r="AQ132" t="s">
        <v>870</v>
      </c>
    </row>
    <row r="133" spans="3:50" x14ac:dyDescent="0.25">
      <c r="F133" s="18" t="s">
        <v>871</v>
      </c>
      <c r="G133" s="18"/>
      <c r="H133" s="18"/>
      <c r="I133" s="18"/>
      <c r="J133" s="18"/>
      <c r="K133" s="18"/>
      <c r="L133" s="18"/>
      <c r="M133">
        <v>113</v>
      </c>
      <c r="U133" t="s">
        <v>342</v>
      </c>
      <c r="AP133" t="s">
        <v>263</v>
      </c>
      <c r="AQ133" t="s">
        <v>872</v>
      </c>
      <c r="AS133" t="s">
        <v>240</v>
      </c>
    </row>
    <row r="134" spans="3:50" x14ac:dyDescent="0.25">
      <c r="C134" t="s">
        <v>672</v>
      </c>
      <c r="D134" t="s">
        <v>673</v>
      </c>
      <c r="F134" s="18" t="s">
        <v>131</v>
      </c>
      <c r="G134" s="18"/>
      <c r="H134" s="18"/>
      <c r="I134" s="18"/>
      <c r="J134" s="18" t="s">
        <v>26</v>
      </c>
      <c r="K134" s="18"/>
      <c r="L134" s="18"/>
      <c r="M134">
        <v>107</v>
      </c>
      <c r="P134" t="s">
        <v>225</v>
      </c>
      <c r="AG134" t="s">
        <v>437</v>
      </c>
      <c r="AP134" t="s">
        <v>263</v>
      </c>
      <c r="AQ134" t="s">
        <v>674</v>
      </c>
    </row>
    <row r="135" spans="3:50" x14ac:dyDescent="0.25">
      <c r="F135" s="18" t="s">
        <v>126</v>
      </c>
      <c r="G135" s="18"/>
      <c r="H135" s="18"/>
      <c r="I135" s="18"/>
      <c r="J135" s="18" t="s">
        <v>26</v>
      </c>
      <c r="K135" s="18"/>
      <c r="L135" s="18"/>
      <c r="M135">
        <v>108</v>
      </c>
      <c r="P135" t="s">
        <v>624</v>
      </c>
      <c r="AG135" t="s">
        <v>466</v>
      </c>
      <c r="AP135" t="s">
        <v>263</v>
      </c>
      <c r="AQ135" t="s">
        <v>644</v>
      </c>
    </row>
    <row r="136" spans="3:50" x14ac:dyDescent="0.25">
      <c r="F136" s="18" t="s">
        <v>121</v>
      </c>
      <c r="G136" s="18"/>
      <c r="H136" s="18"/>
      <c r="I136" s="18"/>
      <c r="J136" s="18" t="s">
        <v>26</v>
      </c>
      <c r="K136" s="18"/>
      <c r="L136" s="18"/>
      <c r="M136">
        <v>109</v>
      </c>
      <c r="P136" t="s">
        <v>543</v>
      </c>
      <c r="AP136" t="s">
        <v>263</v>
      </c>
      <c r="AQ136" t="s">
        <v>621</v>
      </c>
      <c r="AS136" t="s">
        <v>240</v>
      </c>
    </row>
    <row r="137" spans="3:50" x14ac:dyDescent="0.25">
      <c r="F137" s="18" t="s">
        <v>882</v>
      </c>
      <c r="G137" s="18"/>
      <c r="H137" s="18"/>
      <c r="I137" s="18"/>
      <c r="J137" s="18"/>
      <c r="K137" s="18"/>
      <c r="L137" s="18"/>
      <c r="M137">
        <v>16</v>
      </c>
      <c r="N137" t="s">
        <v>883</v>
      </c>
      <c r="U137" t="s">
        <v>604</v>
      </c>
      <c r="AD137" t="s">
        <v>884</v>
      </c>
      <c r="AN137" t="s">
        <v>885</v>
      </c>
      <c r="AP137" t="s">
        <v>285</v>
      </c>
      <c r="AQ137" t="s">
        <v>886</v>
      </c>
    </row>
    <row r="138" spans="3:50" x14ac:dyDescent="0.25">
      <c r="F138" s="18" t="s">
        <v>887</v>
      </c>
      <c r="G138" s="18"/>
      <c r="H138" s="18"/>
      <c r="I138" s="18"/>
      <c r="J138" s="18"/>
      <c r="K138" s="18"/>
      <c r="L138" s="18"/>
      <c r="M138">
        <v>17</v>
      </c>
      <c r="N138" t="s">
        <v>888</v>
      </c>
      <c r="U138" t="s">
        <v>609</v>
      </c>
      <c r="AD138" t="s">
        <v>889</v>
      </c>
      <c r="AN138" t="s">
        <v>889</v>
      </c>
      <c r="AP138" t="s">
        <v>285</v>
      </c>
      <c r="AQ138" t="s">
        <v>890</v>
      </c>
    </row>
    <row r="139" spans="3:50" x14ac:dyDescent="0.25">
      <c r="F139" s="20" t="s">
        <v>891</v>
      </c>
      <c r="G139" s="20"/>
      <c r="H139" s="20"/>
      <c r="I139" s="20"/>
      <c r="J139" s="20"/>
      <c r="K139" s="20"/>
      <c r="L139" s="20"/>
      <c r="M139" s="19">
        <v>29</v>
      </c>
      <c r="N139" s="19" t="s">
        <v>892</v>
      </c>
      <c r="O139" s="19" t="s">
        <v>893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 t="s">
        <v>214</v>
      </c>
      <c r="AT139" s="19" t="s">
        <v>215</v>
      </c>
      <c r="AU139" s="19"/>
      <c r="AV139" s="19"/>
      <c r="AW139" s="19"/>
      <c r="AX139" s="19"/>
    </row>
    <row r="140" spans="3:50" x14ac:dyDescent="0.25">
      <c r="F140" s="20" t="s">
        <v>894</v>
      </c>
      <c r="G140" s="20"/>
      <c r="H140" s="20"/>
      <c r="I140" s="20"/>
      <c r="J140" s="20"/>
      <c r="K140" s="20"/>
      <c r="L140" s="20"/>
      <c r="M140" s="19">
        <v>67</v>
      </c>
      <c r="N140" s="19" t="s">
        <v>895</v>
      </c>
      <c r="O140" s="19" t="s">
        <v>894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 t="s">
        <v>214</v>
      </c>
      <c r="AT140" s="19" t="s">
        <v>215</v>
      </c>
      <c r="AU140" s="19"/>
      <c r="AV140" s="19"/>
      <c r="AW140" s="19"/>
      <c r="AX140" s="19"/>
    </row>
    <row r="141" spans="3:50" x14ac:dyDescent="0.25">
      <c r="F141" s="20" t="s">
        <v>896</v>
      </c>
      <c r="G141" s="20"/>
      <c r="H141" s="20"/>
      <c r="I141" s="20"/>
      <c r="J141" s="20"/>
      <c r="K141" s="20"/>
      <c r="L141" s="20"/>
      <c r="M141" s="19">
        <v>46</v>
      </c>
      <c r="N141" s="19" t="s">
        <v>897</v>
      </c>
      <c r="O141" s="19" t="s">
        <v>898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 t="s">
        <v>214</v>
      </c>
      <c r="AT141" s="19" t="s">
        <v>215</v>
      </c>
      <c r="AU141" s="19"/>
      <c r="AV141" s="19"/>
      <c r="AW141" s="19"/>
      <c r="AX141" s="19"/>
    </row>
    <row r="142" spans="3:50" x14ac:dyDescent="0.25">
      <c r="F142" s="20" t="s">
        <v>899</v>
      </c>
      <c r="G142" s="20"/>
      <c r="H142" s="20"/>
      <c r="I142" s="20"/>
      <c r="J142" s="20"/>
      <c r="K142" s="20"/>
      <c r="L142" s="20"/>
      <c r="M142" s="19">
        <v>47</v>
      </c>
      <c r="N142" s="19" t="s">
        <v>900</v>
      </c>
      <c r="O142" s="19" t="s">
        <v>901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 t="s">
        <v>214</v>
      </c>
      <c r="AT142" s="19" t="s">
        <v>215</v>
      </c>
      <c r="AU142" s="19"/>
      <c r="AV142" s="19"/>
      <c r="AW142" s="19"/>
      <c r="AX142" s="19"/>
    </row>
    <row r="143" spans="3:50" x14ac:dyDescent="0.25">
      <c r="F143" s="20" t="s">
        <v>902</v>
      </c>
      <c r="G143" s="20"/>
      <c r="H143" s="20"/>
      <c r="I143" s="20"/>
      <c r="J143" s="20"/>
      <c r="K143" s="20"/>
      <c r="L143" s="20"/>
      <c r="M143" s="19">
        <v>31</v>
      </c>
      <c r="N143" s="19" t="s">
        <v>903</v>
      </c>
      <c r="O143" s="19" t="s">
        <v>904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 t="s">
        <v>214</v>
      </c>
      <c r="AT143" s="19" t="s">
        <v>215</v>
      </c>
      <c r="AU143" s="19"/>
      <c r="AV143" s="19"/>
      <c r="AW143" s="19"/>
      <c r="AX143" s="19"/>
    </row>
    <row r="144" spans="3:50" x14ac:dyDescent="0.25">
      <c r="F144" s="20" t="s">
        <v>905</v>
      </c>
      <c r="G144" s="20"/>
      <c r="H144" s="20"/>
      <c r="I144" s="20"/>
      <c r="J144" s="20"/>
      <c r="K144" s="20"/>
      <c r="L144" s="20"/>
      <c r="M144" s="19">
        <v>32</v>
      </c>
      <c r="N144" s="19" t="s">
        <v>906</v>
      </c>
      <c r="O144" s="19" t="s">
        <v>907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 t="s">
        <v>214</v>
      </c>
      <c r="AT144" s="19" t="s">
        <v>215</v>
      </c>
      <c r="AU144" s="19"/>
      <c r="AV144" s="19"/>
      <c r="AW144" s="19"/>
      <c r="AX144" s="19"/>
    </row>
    <row r="145" spans="6:50" x14ac:dyDescent="0.25">
      <c r="F145" s="20" t="s">
        <v>908</v>
      </c>
      <c r="G145" s="20"/>
      <c r="H145" s="20"/>
      <c r="I145" s="20"/>
      <c r="J145" s="20"/>
      <c r="K145" s="20"/>
      <c r="L145" s="20"/>
      <c r="M145" s="19">
        <v>27</v>
      </c>
      <c r="N145" s="19" t="s">
        <v>909</v>
      </c>
      <c r="O145" s="19" t="s">
        <v>910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 t="s">
        <v>214</v>
      </c>
      <c r="AT145" s="19" t="s">
        <v>215</v>
      </c>
      <c r="AU145" s="19"/>
      <c r="AV145" s="19"/>
      <c r="AW145" s="19"/>
      <c r="AX145" s="19"/>
    </row>
    <row r="146" spans="6:50" x14ac:dyDescent="0.25">
      <c r="F146" s="20" t="s">
        <v>911</v>
      </c>
      <c r="G146" s="20"/>
      <c r="H146" s="20"/>
      <c r="I146" s="20"/>
      <c r="J146" s="20"/>
      <c r="K146" s="20"/>
      <c r="L146" s="20"/>
      <c r="M146" s="19">
        <v>18</v>
      </c>
      <c r="N146" s="19" t="s">
        <v>912</v>
      </c>
      <c r="O146" s="19" t="s">
        <v>911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 t="s">
        <v>214</v>
      </c>
      <c r="AT146" s="19" t="s">
        <v>215</v>
      </c>
      <c r="AU146" s="19"/>
      <c r="AV146" s="19"/>
      <c r="AW146" s="19"/>
      <c r="AX146" s="19"/>
    </row>
    <row r="147" spans="6:50" x14ac:dyDescent="0.25">
      <c r="F147" s="20" t="s">
        <v>913</v>
      </c>
      <c r="G147" s="20"/>
      <c r="H147" s="20"/>
      <c r="I147" s="20"/>
      <c r="J147" s="20"/>
      <c r="K147" s="20"/>
      <c r="L147" s="20"/>
      <c r="M147" s="19">
        <v>25</v>
      </c>
      <c r="N147" s="19" t="s">
        <v>914</v>
      </c>
      <c r="O147" s="19" t="s">
        <v>913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 t="s">
        <v>214</v>
      </c>
      <c r="AT147" s="19" t="s">
        <v>215</v>
      </c>
      <c r="AU147" s="19"/>
      <c r="AV147" s="19"/>
      <c r="AW147" s="19"/>
      <c r="AX147" s="19"/>
    </row>
    <row r="148" spans="6:50" x14ac:dyDescent="0.25">
      <c r="F148" s="20" t="s">
        <v>913</v>
      </c>
      <c r="G148" s="20"/>
      <c r="H148" s="20"/>
      <c r="I148" s="20"/>
      <c r="J148" s="20"/>
      <c r="K148" s="20"/>
      <c r="L148" s="20"/>
      <c r="M148" s="19">
        <v>61</v>
      </c>
      <c r="N148" s="19" t="s">
        <v>914</v>
      </c>
      <c r="O148" s="19" t="s">
        <v>913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 t="s">
        <v>214</v>
      </c>
      <c r="AT148" s="19" t="s">
        <v>215</v>
      </c>
      <c r="AU148" s="19"/>
      <c r="AV148" s="19"/>
      <c r="AW148" s="19"/>
      <c r="AX148" s="19"/>
    </row>
    <row r="149" spans="6:50" x14ac:dyDescent="0.25">
      <c r="F149" s="20" t="s">
        <v>913</v>
      </c>
      <c r="G149" s="20"/>
      <c r="H149" s="20"/>
      <c r="I149" s="20"/>
      <c r="J149" s="20"/>
      <c r="K149" s="20"/>
      <c r="L149" s="20"/>
      <c r="M149" s="19">
        <v>84</v>
      </c>
      <c r="N149" s="19" t="s">
        <v>914</v>
      </c>
      <c r="O149" s="19" t="s">
        <v>913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 t="s">
        <v>214</v>
      </c>
      <c r="AT149" s="19" t="s">
        <v>215</v>
      </c>
      <c r="AU149" s="19"/>
      <c r="AV149" s="19"/>
      <c r="AW149" s="19"/>
      <c r="AX149" s="19"/>
    </row>
    <row r="150" spans="6:50" x14ac:dyDescent="0.25">
      <c r="F150" s="20" t="s">
        <v>913</v>
      </c>
      <c r="G150" s="20"/>
      <c r="H150" s="20"/>
      <c r="I150" s="20"/>
      <c r="J150" s="20"/>
      <c r="K150" s="20"/>
      <c r="L150" s="20"/>
      <c r="M150" s="19">
        <v>97</v>
      </c>
      <c r="N150" s="19" t="s">
        <v>914</v>
      </c>
      <c r="O150" s="19" t="s">
        <v>913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 t="s">
        <v>214</v>
      </c>
      <c r="AT150" s="19" t="s">
        <v>215</v>
      </c>
      <c r="AU150" s="19"/>
      <c r="AV150" s="19"/>
      <c r="AW150" s="19"/>
      <c r="AX150" s="19"/>
    </row>
    <row r="151" spans="6:50" x14ac:dyDescent="0.25">
      <c r="F151" s="20" t="s">
        <v>913</v>
      </c>
      <c r="G151" s="20"/>
      <c r="H151" s="20"/>
      <c r="I151" s="20"/>
      <c r="J151" s="20"/>
      <c r="K151" s="20"/>
      <c r="L151" s="20"/>
      <c r="M151" s="19">
        <v>110</v>
      </c>
      <c r="N151" s="19" t="s">
        <v>914</v>
      </c>
      <c r="O151" s="19" t="s">
        <v>913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 t="s">
        <v>214</v>
      </c>
      <c r="AT151" s="19" t="s">
        <v>215</v>
      </c>
      <c r="AU151" s="19"/>
      <c r="AV151" s="19"/>
      <c r="AW151" s="19"/>
      <c r="AX151" s="19"/>
    </row>
    <row r="152" spans="6:50" x14ac:dyDescent="0.25">
      <c r="F152" s="20" t="s">
        <v>913</v>
      </c>
      <c r="G152" s="20"/>
      <c r="H152" s="20"/>
      <c r="I152" s="20"/>
      <c r="J152" s="20"/>
      <c r="K152" s="20"/>
      <c r="L152" s="20"/>
      <c r="M152" s="19">
        <v>123</v>
      </c>
      <c r="N152" s="19" t="s">
        <v>914</v>
      </c>
      <c r="O152" s="19" t="s">
        <v>913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 t="s">
        <v>214</v>
      </c>
      <c r="AT152" s="19" t="s">
        <v>215</v>
      </c>
      <c r="AU152" s="19"/>
      <c r="AV152" s="19"/>
      <c r="AW152" s="19"/>
      <c r="AX152" s="19"/>
    </row>
    <row r="153" spans="6:50" x14ac:dyDescent="0.25">
      <c r="F153" s="20" t="s">
        <v>913</v>
      </c>
      <c r="G153" s="20"/>
      <c r="H153" s="20"/>
      <c r="I153" s="20"/>
      <c r="J153" s="20"/>
      <c r="K153" s="20"/>
      <c r="L153" s="20"/>
      <c r="M153" s="19">
        <v>138</v>
      </c>
      <c r="N153" s="19" t="s">
        <v>914</v>
      </c>
      <c r="O153" s="19" t="s">
        <v>913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 t="s">
        <v>214</v>
      </c>
      <c r="AT153" s="19" t="s">
        <v>215</v>
      </c>
      <c r="AU153" s="19"/>
      <c r="AV153" s="19"/>
      <c r="AW153" s="19"/>
      <c r="AX153" s="19"/>
    </row>
    <row r="154" spans="6:50" x14ac:dyDescent="0.25">
      <c r="F154" s="20" t="s">
        <v>913</v>
      </c>
      <c r="G154" s="20"/>
      <c r="H154" s="20"/>
      <c r="I154" s="20"/>
      <c r="J154" s="20"/>
      <c r="K154" s="20"/>
      <c r="L154" s="20"/>
      <c r="M154" s="19">
        <v>149</v>
      </c>
      <c r="N154" s="19" t="s">
        <v>914</v>
      </c>
      <c r="O154" s="19" t="s">
        <v>913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 t="s">
        <v>214</v>
      </c>
      <c r="AT154" s="19" t="s">
        <v>215</v>
      </c>
      <c r="AU154" s="19"/>
      <c r="AV154" s="19"/>
      <c r="AW154" s="19"/>
      <c r="AX154" s="19"/>
    </row>
    <row r="155" spans="6:50" x14ac:dyDescent="0.25">
      <c r="F155" s="20" t="s">
        <v>913</v>
      </c>
      <c r="G155" s="20"/>
      <c r="H155" s="20"/>
      <c r="I155" s="20"/>
      <c r="J155" s="20"/>
      <c r="K155" s="20"/>
      <c r="L155" s="20"/>
      <c r="M155" s="19">
        <v>171</v>
      </c>
      <c r="N155" s="19" t="s">
        <v>914</v>
      </c>
      <c r="O155" s="19" t="s">
        <v>913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 t="s">
        <v>214</v>
      </c>
      <c r="AT155" s="19" t="s">
        <v>215</v>
      </c>
      <c r="AU155" s="19"/>
      <c r="AV155" s="19"/>
      <c r="AW155" s="19"/>
      <c r="AX155" s="19"/>
    </row>
    <row r="156" spans="6:50" x14ac:dyDescent="0.25">
      <c r="F156" s="20" t="s">
        <v>915</v>
      </c>
      <c r="G156" s="20"/>
      <c r="H156" s="20"/>
      <c r="I156" s="20"/>
      <c r="J156" s="20"/>
      <c r="K156" s="20"/>
      <c r="L156" s="20"/>
      <c r="M156" s="19">
        <v>48</v>
      </c>
      <c r="N156" s="19" t="s">
        <v>916</v>
      </c>
      <c r="O156" s="19" t="s">
        <v>917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 t="s">
        <v>214</v>
      </c>
      <c r="AT156" s="19" t="s">
        <v>215</v>
      </c>
      <c r="AU156" s="19"/>
      <c r="AV156" s="19"/>
      <c r="AW156" s="19"/>
      <c r="AX156" s="19"/>
    </row>
    <row r="157" spans="6:50" x14ac:dyDescent="0.25">
      <c r="F157" s="20" t="s">
        <v>918</v>
      </c>
      <c r="G157" s="20"/>
      <c r="H157" s="20"/>
      <c r="I157" s="20"/>
      <c r="J157" s="20"/>
      <c r="K157" s="20"/>
      <c r="L157" s="20"/>
      <c r="M157" s="19">
        <v>34</v>
      </c>
      <c r="N157" s="19" t="s">
        <v>919</v>
      </c>
      <c r="O157" s="19" t="s">
        <v>920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 t="s">
        <v>214</v>
      </c>
      <c r="AT157" s="19" t="s">
        <v>215</v>
      </c>
      <c r="AU157" s="19"/>
      <c r="AV157" s="19"/>
      <c r="AW157" s="19"/>
      <c r="AX157" s="19"/>
    </row>
    <row r="158" spans="6:50" x14ac:dyDescent="0.25">
      <c r="F158" s="20" t="s">
        <v>921</v>
      </c>
      <c r="G158" s="20"/>
      <c r="H158" s="20"/>
      <c r="I158" s="20"/>
      <c r="J158" s="20"/>
      <c r="K158" s="20"/>
      <c r="L158" s="20"/>
      <c r="M158" s="19">
        <v>112</v>
      </c>
      <c r="N158" s="19" t="s">
        <v>922</v>
      </c>
      <c r="O158" s="19" t="s">
        <v>921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 t="s">
        <v>214</v>
      </c>
      <c r="AT158" s="19" t="s">
        <v>215</v>
      </c>
      <c r="AU158" s="19"/>
      <c r="AV158" s="19"/>
      <c r="AW158" s="19"/>
      <c r="AX158" s="19"/>
    </row>
    <row r="159" spans="6:50" x14ac:dyDescent="0.25">
      <c r="F159" s="20" t="s">
        <v>923</v>
      </c>
      <c r="G159" s="20"/>
      <c r="H159" s="20"/>
      <c r="I159" s="20"/>
      <c r="J159" s="20"/>
      <c r="K159" s="20"/>
      <c r="L159" s="20"/>
      <c r="M159" s="19">
        <v>19</v>
      </c>
      <c r="N159" s="19" t="s">
        <v>924</v>
      </c>
      <c r="O159" s="19" t="s">
        <v>923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 t="s">
        <v>214</v>
      </c>
      <c r="AT159" s="19" t="s">
        <v>215</v>
      </c>
      <c r="AU159" s="19"/>
      <c r="AV159" s="19"/>
      <c r="AW159" s="19"/>
      <c r="AX159" s="19"/>
    </row>
    <row r="160" spans="6:50" x14ac:dyDescent="0.25">
      <c r="F160" s="20" t="s">
        <v>925</v>
      </c>
      <c r="G160" s="20"/>
      <c r="H160" s="20"/>
      <c r="I160" s="20"/>
      <c r="J160" s="20"/>
      <c r="K160" s="20"/>
      <c r="L160" s="20"/>
      <c r="M160" s="19">
        <v>154</v>
      </c>
      <c r="N160" s="19" t="s">
        <v>926</v>
      </c>
      <c r="O160" s="19" t="s">
        <v>925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 t="s">
        <v>214</v>
      </c>
      <c r="AT160" s="19" t="s">
        <v>215</v>
      </c>
      <c r="AU160" s="19"/>
      <c r="AV160" s="19"/>
      <c r="AW160" s="19"/>
      <c r="AX160" s="19"/>
    </row>
    <row r="161" spans="6:50" x14ac:dyDescent="0.25">
      <c r="F161" s="20" t="s">
        <v>927</v>
      </c>
      <c r="G161" s="20"/>
      <c r="H161" s="20"/>
      <c r="I161" s="20"/>
      <c r="J161" s="20"/>
      <c r="K161" s="20"/>
      <c r="L161" s="20"/>
      <c r="M161" s="19">
        <v>158</v>
      </c>
      <c r="N161" s="19" t="s">
        <v>928</v>
      </c>
      <c r="O161" s="19" t="s">
        <v>927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 t="s">
        <v>214</v>
      </c>
      <c r="AT161" s="19" t="s">
        <v>215</v>
      </c>
      <c r="AU161" s="19"/>
      <c r="AV161" s="19"/>
      <c r="AW161" s="19"/>
      <c r="AX161" s="19"/>
    </row>
    <row r="162" spans="6:50" x14ac:dyDescent="0.25">
      <c r="F162" s="20" t="s">
        <v>929</v>
      </c>
      <c r="G162" s="20"/>
      <c r="H162" s="20"/>
      <c r="I162" s="20"/>
      <c r="J162" s="20"/>
      <c r="K162" s="20"/>
      <c r="L162" s="20"/>
      <c r="M162" s="19">
        <v>153</v>
      </c>
      <c r="N162" s="19" t="s">
        <v>930</v>
      </c>
      <c r="O162" s="19" t="s">
        <v>929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 t="s">
        <v>214</v>
      </c>
      <c r="AT162" s="19" t="s">
        <v>215</v>
      </c>
      <c r="AU162" s="19"/>
      <c r="AV162" s="19"/>
      <c r="AW162" s="19"/>
      <c r="AX162" s="19"/>
    </row>
    <row r="163" spans="6:50" x14ac:dyDescent="0.25">
      <c r="F163" s="20" t="s">
        <v>931</v>
      </c>
      <c r="G163" s="20"/>
      <c r="H163" s="20"/>
      <c r="I163" s="20"/>
      <c r="J163" s="20"/>
      <c r="K163" s="20"/>
      <c r="L163" s="20"/>
      <c r="M163" s="19">
        <v>157</v>
      </c>
      <c r="N163" s="19" t="s">
        <v>932</v>
      </c>
      <c r="O163" s="19" t="s">
        <v>931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 t="s">
        <v>214</v>
      </c>
      <c r="AT163" s="19" t="s">
        <v>215</v>
      </c>
      <c r="AU163" s="19"/>
      <c r="AV163" s="19"/>
      <c r="AW163" s="19"/>
      <c r="AX163" s="19"/>
    </row>
    <row r="164" spans="6:50" x14ac:dyDescent="0.25">
      <c r="F164" s="20" t="s">
        <v>933</v>
      </c>
      <c r="G164" s="20"/>
      <c r="H164" s="20"/>
      <c r="I164" s="20"/>
      <c r="J164" s="20"/>
      <c r="K164" s="20"/>
      <c r="L164" s="20"/>
      <c r="M164" s="19">
        <v>22</v>
      </c>
      <c r="N164" s="19" t="s">
        <v>934</v>
      </c>
      <c r="O164" s="19" t="s">
        <v>933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 t="s">
        <v>214</v>
      </c>
      <c r="AT164" s="19" t="s">
        <v>215</v>
      </c>
      <c r="AU164" s="19"/>
      <c r="AV164" s="19"/>
      <c r="AW164" s="19"/>
      <c r="AX164" s="19"/>
    </row>
    <row r="165" spans="6:50" x14ac:dyDescent="0.25">
      <c r="F165" s="20" t="s">
        <v>933</v>
      </c>
      <c r="G165" s="20"/>
      <c r="H165" s="20"/>
      <c r="I165" s="20"/>
      <c r="J165" s="20"/>
      <c r="K165" s="20"/>
      <c r="L165" s="20"/>
      <c r="M165" s="19">
        <v>60</v>
      </c>
      <c r="N165" s="19" t="s">
        <v>934</v>
      </c>
      <c r="O165" s="19" t="s">
        <v>933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 t="s">
        <v>214</v>
      </c>
      <c r="AT165" s="19" t="s">
        <v>215</v>
      </c>
      <c r="AU165" s="19"/>
      <c r="AV165" s="19"/>
      <c r="AW165" s="19"/>
      <c r="AX165" s="19"/>
    </row>
    <row r="166" spans="6:50" x14ac:dyDescent="0.25">
      <c r="F166" s="20" t="s">
        <v>933</v>
      </c>
      <c r="G166" s="20"/>
      <c r="H166" s="20"/>
      <c r="I166" s="20"/>
      <c r="J166" s="20"/>
      <c r="K166" s="20"/>
      <c r="L166" s="20"/>
      <c r="M166" s="19">
        <v>83</v>
      </c>
      <c r="N166" s="19" t="s">
        <v>934</v>
      </c>
      <c r="O166" s="19" t="s">
        <v>933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 t="s">
        <v>214</v>
      </c>
      <c r="AT166" s="19" t="s">
        <v>215</v>
      </c>
      <c r="AU166" s="19"/>
      <c r="AV166" s="19"/>
      <c r="AW166" s="19"/>
      <c r="AX166" s="19"/>
    </row>
    <row r="167" spans="6:50" x14ac:dyDescent="0.25">
      <c r="F167" s="20" t="s">
        <v>933</v>
      </c>
      <c r="G167" s="20"/>
      <c r="H167" s="20"/>
      <c r="I167" s="20"/>
      <c r="J167" s="20"/>
      <c r="K167" s="20"/>
      <c r="L167" s="20"/>
      <c r="M167" s="19">
        <v>98</v>
      </c>
      <c r="N167" s="19" t="s">
        <v>934</v>
      </c>
      <c r="O167" s="19" t="s">
        <v>933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 t="s">
        <v>214</v>
      </c>
      <c r="AT167" s="19" t="s">
        <v>215</v>
      </c>
      <c r="AU167" s="19"/>
      <c r="AV167" s="19"/>
      <c r="AW167" s="19"/>
      <c r="AX167" s="19"/>
    </row>
    <row r="168" spans="6:50" x14ac:dyDescent="0.25">
      <c r="F168" s="20" t="s">
        <v>933</v>
      </c>
      <c r="G168" s="20"/>
      <c r="H168" s="20"/>
      <c r="I168" s="20"/>
      <c r="J168" s="20"/>
      <c r="K168" s="20"/>
      <c r="L168" s="20"/>
      <c r="M168" s="19">
        <v>111</v>
      </c>
      <c r="N168" s="19" t="s">
        <v>934</v>
      </c>
      <c r="O168" s="19" t="s">
        <v>933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 t="s">
        <v>214</v>
      </c>
      <c r="AT168" s="19" t="s">
        <v>215</v>
      </c>
      <c r="AU168" s="19"/>
      <c r="AV168" s="19"/>
      <c r="AW168" s="19"/>
      <c r="AX168" s="19"/>
    </row>
    <row r="169" spans="6:50" x14ac:dyDescent="0.25">
      <c r="F169" s="20" t="s">
        <v>933</v>
      </c>
      <c r="G169" s="20"/>
      <c r="H169" s="20"/>
      <c r="I169" s="20"/>
      <c r="J169" s="20"/>
      <c r="K169" s="20"/>
      <c r="L169" s="20"/>
      <c r="M169" s="19">
        <v>124</v>
      </c>
      <c r="N169" s="19" t="s">
        <v>934</v>
      </c>
      <c r="O169" s="19" t="s">
        <v>933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 t="s">
        <v>214</v>
      </c>
      <c r="AT169" s="19" t="s">
        <v>215</v>
      </c>
      <c r="AU169" s="19"/>
      <c r="AV169" s="19"/>
      <c r="AW169" s="19"/>
      <c r="AX169" s="19"/>
    </row>
    <row r="170" spans="6:50" x14ac:dyDescent="0.25">
      <c r="F170" s="20" t="s">
        <v>933</v>
      </c>
      <c r="G170" s="20"/>
      <c r="H170" s="20"/>
      <c r="I170" s="20"/>
      <c r="J170" s="20"/>
      <c r="K170" s="20"/>
      <c r="L170" s="20"/>
      <c r="M170" s="19">
        <v>139</v>
      </c>
      <c r="N170" s="19" t="s">
        <v>934</v>
      </c>
      <c r="O170" s="19" t="s">
        <v>933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 t="s">
        <v>214</v>
      </c>
      <c r="AT170" s="19" t="s">
        <v>215</v>
      </c>
      <c r="AU170" s="19"/>
      <c r="AV170" s="19"/>
      <c r="AW170" s="19"/>
      <c r="AX170" s="19"/>
    </row>
    <row r="171" spans="6:50" x14ac:dyDescent="0.25">
      <c r="F171" s="20" t="s">
        <v>933</v>
      </c>
      <c r="G171" s="20"/>
      <c r="H171" s="20"/>
      <c r="I171" s="20"/>
      <c r="J171" s="20"/>
      <c r="K171" s="20"/>
      <c r="L171" s="20"/>
      <c r="M171" s="19">
        <v>150</v>
      </c>
      <c r="N171" s="19" t="s">
        <v>934</v>
      </c>
      <c r="O171" s="19" t="s">
        <v>933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 t="s">
        <v>214</v>
      </c>
      <c r="AT171" s="19" t="s">
        <v>215</v>
      </c>
      <c r="AU171" s="19"/>
      <c r="AV171" s="19"/>
      <c r="AW171" s="19"/>
      <c r="AX171" s="19"/>
    </row>
    <row r="172" spans="6:50" x14ac:dyDescent="0.25">
      <c r="F172" s="20" t="s">
        <v>933</v>
      </c>
      <c r="G172" s="20"/>
      <c r="H172" s="20"/>
      <c r="I172" s="20"/>
      <c r="J172" s="20"/>
      <c r="K172" s="20"/>
      <c r="L172" s="20"/>
      <c r="M172" s="19">
        <v>170</v>
      </c>
      <c r="N172" s="19" t="s">
        <v>934</v>
      </c>
      <c r="O172" s="19" t="s">
        <v>933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 t="s">
        <v>214</v>
      </c>
      <c r="AT172" s="19" t="s">
        <v>215</v>
      </c>
      <c r="AU172" s="19"/>
      <c r="AV172" s="19"/>
      <c r="AW172" s="19"/>
      <c r="AX172" s="19"/>
    </row>
    <row r="173" spans="6:50" x14ac:dyDescent="0.25">
      <c r="F173" s="20" t="s">
        <v>935</v>
      </c>
      <c r="G173" s="20"/>
      <c r="H173" s="20"/>
      <c r="I173" s="20"/>
      <c r="J173" s="20"/>
      <c r="K173" s="20"/>
      <c r="L173" s="20"/>
      <c r="M173" s="19">
        <v>33</v>
      </c>
      <c r="N173" s="19" t="s">
        <v>936</v>
      </c>
      <c r="O173" s="19" t="s">
        <v>937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 t="s">
        <v>214</v>
      </c>
      <c r="AT173" s="19" t="s">
        <v>215</v>
      </c>
      <c r="AU173" s="19"/>
      <c r="AV173" s="19"/>
      <c r="AW173" s="19"/>
      <c r="AX173" s="19"/>
    </row>
    <row r="174" spans="6:50" x14ac:dyDescent="0.25">
      <c r="F174" s="20" t="s">
        <v>938</v>
      </c>
      <c r="G174" s="20"/>
      <c r="H174" s="20"/>
      <c r="I174" s="20"/>
      <c r="J174" s="20"/>
      <c r="K174" s="20"/>
      <c r="L174" s="20"/>
      <c r="M174" s="19">
        <v>30</v>
      </c>
      <c r="N174" s="19" t="s">
        <v>939</v>
      </c>
      <c r="O174" s="19" t="s">
        <v>940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 t="s">
        <v>214</v>
      </c>
      <c r="AT174" s="19" t="s">
        <v>215</v>
      </c>
      <c r="AU174" s="19"/>
      <c r="AV174" s="19"/>
      <c r="AW174" s="19"/>
      <c r="AX174" s="19"/>
    </row>
    <row r="175" spans="6:50" x14ac:dyDescent="0.25">
      <c r="F175" s="20" t="s">
        <v>941</v>
      </c>
      <c r="G175" s="20"/>
      <c r="H175" s="20"/>
      <c r="I175" s="20"/>
      <c r="J175" s="20"/>
      <c r="K175" s="20"/>
      <c r="L175" s="20"/>
      <c r="M175" s="19">
        <v>45</v>
      </c>
      <c r="N175" s="19" t="s">
        <v>942</v>
      </c>
      <c r="O175" s="19" t="s">
        <v>943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 t="s">
        <v>214</v>
      </c>
      <c r="AT175" s="19" t="s">
        <v>215</v>
      </c>
      <c r="AU175" s="19"/>
      <c r="AV175" s="19"/>
      <c r="AW175" s="19"/>
      <c r="AX175" s="19"/>
    </row>
    <row r="176" spans="6:50" x14ac:dyDescent="0.25">
      <c r="F176" s="20" t="s">
        <v>944</v>
      </c>
      <c r="G176" s="20"/>
      <c r="H176" s="20"/>
      <c r="I176" s="20"/>
      <c r="J176" s="20"/>
      <c r="K176" s="20"/>
      <c r="L176" s="20"/>
      <c r="M176" s="19">
        <v>20</v>
      </c>
      <c r="N176" s="19" t="s">
        <v>945</v>
      </c>
      <c r="O176" s="19" t="s">
        <v>944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 t="s">
        <v>214</v>
      </c>
      <c r="AT176" s="19" t="s">
        <v>215</v>
      </c>
      <c r="AU176" s="19"/>
      <c r="AV176" s="19"/>
      <c r="AW176" s="19"/>
      <c r="AX176" s="19"/>
    </row>
    <row r="177" spans="6:50" x14ac:dyDescent="0.25">
      <c r="F177" s="20" t="s">
        <v>946</v>
      </c>
      <c r="G177" s="20"/>
      <c r="H177" s="20"/>
      <c r="I177" s="20"/>
      <c r="J177" s="20"/>
      <c r="K177" s="20"/>
      <c r="L177" s="20"/>
      <c r="M177" s="19">
        <v>21</v>
      </c>
      <c r="N177" s="19" t="s">
        <v>947</v>
      </c>
      <c r="O177" s="19" t="s">
        <v>946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 t="s">
        <v>214</v>
      </c>
      <c r="AT177" s="19" t="s">
        <v>215</v>
      </c>
      <c r="AU177" s="19"/>
      <c r="AV177" s="19"/>
      <c r="AW177" s="19"/>
      <c r="AX177" s="19"/>
    </row>
  </sheetData>
  <autoFilter ref="A1:AX1" xr:uid="{D375968B-F291-4B7B-82A2-C039BEBF5DA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8AE8-DFFF-4238-AAA6-7A00A365BB2F}">
  <dimension ref="A1:J135"/>
  <sheetViews>
    <sheetView workbookViewId="0">
      <selection activeCell="G10" sqref="G10"/>
    </sheetView>
  </sheetViews>
  <sheetFormatPr defaultRowHeight="15" x14ac:dyDescent="0.25"/>
  <cols>
    <col min="4" max="4" width="11" customWidth="1"/>
    <col min="5" max="5" width="18.5703125" customWidth="1"/>
    <col min="9" max="9" width="23.28515625" customWidth="1"/>
    <col min="10" max="10" width="13.140625" customWidth="1"/>
  </cols>
  <sheetData>
    <row r="1" spans="1:10" x14ac:dyDescent="0.25">
      <c r="A1" t="s">
        <v>21</v>
      </c>
    </row>
    <row r="5" spans="1:10" x14ac:dyDescent="0.25">
      <c r="C5">
        <v>0</v>
      </c>
      <c r="D5" t="str">
        <f>_xlfn.CONCAT("0x",DEC2HEX(C5,8))</f>
        <v>0x00000000</v>
      </c>
      <c r="E5" t="s">
        <v>22</v>
      </c>
      <c r="F5">
        <v>64</v>
      </c>
      <c r="I5">
        <v>536871968</v>
      </c>
      <c r="J5" t="str">
        <f>_xlfn.CONCAT("0x",DEC2HEX(I5,8))</f>
        <v>0x20000420</v>
      </c>
    </row>
    <row r="6" spans="1:10" x14ac:dyDescent="0.25">
      <c r="C6">
        <f t="shared" ref="C6:C40" si="0">C5+64</f>
        <v>64</v>
      </c>
      <c r="D6" t="str">
        <f>_xlfn.CONCAT("0x",DEC2HEX(C6,8))</f>
        <v>0x00000040</v>
      </c>
      <c r="E6" t="s">
        <v>23</v>
      </c>
      <c r="F6">
        <v>64</v>
      </c>
      <c r="G6">
        <v>41</v>
      </c>
      <c r="I6">
        <v>153</v>
      </c>
      <c r="J6" t="str">
        <f t="shared" ref="J6:J19" si="1">_xlfn.CONCAT("0x",DEC2HEX(I6,8))</f>
        <v>0x00000099</v>
      </c>
    </row>
    <row r="7" spans="1:10" x14ac:dyDescent="0.25">
      <c r="C7" s="12">
        <f t="shared" si="0"/>
        <v>128</v>
      </c>
      <c r="D7" s="13" t="str">
        <f>_xlfn.CONCAT("0x",DEC2HEX(C7,8))</f>
        <v>0x00000080</v>
      </c>
      <c r="E7" s="13" t="s">
        <v>24</v>
      </c>
      <c r="F7" s="14">
        <v>64</v>
      </c>
      <c r="G7">
        <v>128</v>
      </c>
      <c r="I7">
        <v>1113</v>
      </c>
      <c r="J7" t="str">
        <f t="shared" si="1"/>
        <v>0x00000459</v>
      </c>
    </row>
    <row r="8" spans="1:10" x14ac:dyDescent="0.25">
      <c r="C8" s="15">
        <f t="shared" si="0"/>
        <v>192</v>
      </c>
      <c r="D8" s="16"/>
      <c r="E8" s="16"/>
      <c r="F8" s="17">
        <v>64</v>
      </c>
    </row>
    <row r="9" spans="1:10" x14ac:dyDescent="0.25">
      <c r="B9">
        <v>0</v>
      </c>
      <c r="C9">
        <f>C8+64</f>
        <v>256</v>
      </c>
      <c r="D9" t="str">
        <f>_xlfn.CONCAT("0x",DEC2HEX(C9,8))</f>
        <v>0x00000100</v>
      </c>
      <c r="E9" t="str">
        <f>_xlfn.CONCAT("rail[",B9,"]")</f>
        <v>rail[0]</v>
      </c>
      <c r="I9">
        <v>163</v>
      </c>
      <c r="J9" t="str">
        <f t="shared" si="1"/>
        <v>0x000000A3</v>
      </c>
    </row>
    <row r="10" spans="1:10" x14ac:dyDescent="0.25">
      <c r="B10">
        <f>B9+1</f>
        <v>1</v>
      </c>
      <c r="C10">
        <f t="shared" si="0"/>
        <v>320</v>
      </c>
      <c r="D10" t="str">
        <f t="shared" ref="D10:D73" si="2">_xlfn.CONCAT("0x",DEC2HEX(C10,8))</f>
        <v>0x00000140</v>
      </c>
      <c r="E10" t="str">
        <f t="shared" ref="E10:E40" si="3">_xlfn.CONCAT("rail[",B10,"]")</f>
        <v>rail[1]</v>
      </c>
      <c r="I10">
        <v>16777216</v>
      </c>
      <c r="J10" t="str">
        <f t="shared" si="1"/>
        <v>0x01000000</v>
      </c>
    </row>
    <row r="11" spans="1:10" x14ac:dyDescent="0.25">
      <c r="B11">
        <f t="shared" ref="B11:B40" si="4">B10+1</f>
        <v>2</v>
      </c>
      <c r="C11">
        <f t="shared" si="0"/>
        <v>384</v>
      </c>
      <c r="D11" t="str">
        <f t="shared" si="2"/>
        <v>0x00000180</v>
      </c>
      <c r="E11" t="str">
        <f t="shared" si="3"/>
        <v>rail[2]</v>
      </c>
      <c r="J11" t="str">
        <f t="shared" si="1"/>
        <v>0x00000000</v>
      </c>
    </row>
    <row r="12" spans="1:10" x14ac:dyDescent="0.25">
      <c r="B12">
        <f t="shared" si="4"/>
        <v>3</v>
      </c>
      <c r="C12">
        <f t="shared" si="0"/>
        <v>448</v>
      </c>
      <c r="D12" t="str">
        <f t="shared" si="2"/>
        <v>0x000001C0</v>
      </c>
      <c r="E12" t="str">
        <f t="shared" si="3"/>
        <v>rail[3]</v>
      </c>
      <c r="J12" t="str">
        <f t="shared" si="1"/>
        <v>0x00000000</v>
      </c>
    </row>
    <row r="13" spans="1:10" x14ac:dyDescent="0.25">
      <c r="B13">
        <f t="shared" si="4"/>
        <v>4</v>
      </c>
      <c r="C13">
        <f t="shared" si="0"/>
        <v>512</v>
      </c>
      <c r="D13" t="str">
        <f t="shared" si="2"/>
        <v>0x00000200</v>
      </c>
      <c r="E13" t="str">
        <f t="shared" si="3"/>
        <v>rail[4]</v>
      </c>
      <c r="J13" t="str">
        <f t="shared" si="1"/>
        <v>0x00000000</v>
      </c>
    </row>
    <row r="14" spans="1:10" x14ac:dyDescent="0.25">
      <c r="B14">
        <f t="shared" si="4"/>
        <v>5</v>
      </c>
      <c r="C14">
        <f t="shared" si="0"/>
        <v>576</v>
      </c>
      <c r="D14" t="str">
        <f t="shared" si="2"/>
        <v>0x00000240</v>
      </c>
      <c r="E14" t="str">
        <f t="shared" si="3"/>
        <v>rail[5]</v>
      </c>
      <c r="J14" t="str">
        <f t="shared" si="1"/>
        <v>0x00000000</v>
      </c>
    </row>
    <row r="15" spans="1:10" x14ac:dyDescent="0.25">
      <c r="B15">
        <f t="shared" si="4"/>
        <v>6</v>
      </c>
      <c r="C15">
        <f t="shared" si="0"/>
        <v>640</v>
      </c>
      <c r="D15" t="str">
        <f t="shared" si="2"/>
        <v>0x00000280</v>
      </c>
      <c r="E15" t="str">
        <f t="shared" si="3"/>
        <v>rail[6]</v>
      </c>
      <c r="J15" t="str">
        <f t="shared" si="1"/>
        <v>0x00000000</v>
      </c>
    </row>
    <row r="16" spans="1:10" x14ac:dyDescent="0.25">
      <c r="B16">
        <f t="shared" si="4"/>
        <v>7</v>
      </c>
      <c r="C16">
        <f t="shared" si="0"/>
        <v>704</v>
      </c>
      <c r="D16" t="str">
        <f t="shared" si="2"/>
        <v>0x000002C0</v>
      </c>
      <c r="E16" t="str">
        <f t="shared" si="3"/>
        <v>rail[7]</v>
      </c>
      <c r="J16" t="str">
        <f t="shared" si="1"/>
        <v>0x00000000</v>
      </c>
    </row>
    <row r="17" spans="2:10" x14ac:dyDescent="0.25">
      <c r="B17">
        <f t="shared" si="4"/>
        <v>8</v>
      </c>
      <c r="C17">
        <f t="shared" si="0"/>
        <v>768</v>
      </c>
      <c r="D17" t="str">
        <f t="shared" si="2"/>
        <v>0x00000300</v>
      </c>
      <c r="E17" t="str">
        <f t="shared" si="3"/>
        <v>rail[8]</v>
      </c>
      <c r="J17" t="str">
        <f t="shared" si="1"/>
        <v>0x00000000</v>
      </c>
    </row>
    <row r="18" spans="2:10" x14ac:dyDescent="0.25">
      <c r="B18">
        <f t="shared" si="4"/>
        <v>9</v>
      </c>
      <c r="C18">
        <f t="shared" si="0"/>
        <v>832</v>
      </c>
      <c r="D18" t="str">
        <f t="shared" si="2"/>
        <v>0x00000340</v>
      </c>
      <c r="E18" t="str">
        <f t="shared" si="3"/>
        <v>rail[9]</v>
      </c>
      <c r="J18" t="str">
        <f t="shared" si="1"/>
        <v>0x00000000</v>
      </c>
    </row>
    <row r="19" spans="2:10" x14ac:dyDescent="0.25">
      <c r="B19">
        <f t="shared" si="4"/>
        <v>10</v>
      </c>
      <c r="C19">
        <f t="shared" si="0"/>
        <v>896</v>
      </c>
      <c r="D19" t="str">
        <f t="shared" si="2"/>
        <v>0x00000380</v>
      </c>
      <c r="E19" t="str">
        <f t="shared" si="3"/>
        <v>rail[10]</v>
      </c>
      <c r="J19" t="str">
        <f t="shared" si="1"/>
        <v>0x00000000</v>
      </c>
    </row>
    <row r="20" spans="2:10" x14ac:dyDescent="0.25">
      <c r="B20">
        <f t="shared" si="4"/>
        <v>11</v>
      </c>
      <c r="C20">
        <f t="shared" si="0"/>
        <v>960</v>
      </c>
      <c r="D20" t="str">
        <f t="shared" si="2"/>
        <v>0x000003C0</v>
      </c>
      <c r="E20" t="str">
        <f t="shared" si="3"/>
        <v>rail[11]</v>
      </c>
    </row>
    <row r="21" spans="2:10" x14ac:dyDescent="0.25">
      <c r="B21">
        <f t="shared" si="4"/>
        <v>12</v>
      </c>
      <c r="C21">
        <f t="shared" si="0"/>
        <v>1024</v>
      </c>
      <c r="D21" t="str">
        <f t="shared" si="2"/>
        <v>0x00000400</v>
      </c>
      <c r="E21" t="str">
        <f t="shared" si="3"/>
        <v>rail[12]</v>
      </c>
    </row>
    <row r="22" spans="2:10" x14ac:dyDescent="0.25">
      <c r="B22">
        <f t="shared" si="4"/>
        <v>13</v>
      </c>
      <c r="C22">
        <f t="shared" si="0"/>
        <v>1088</v>
      </c>
      <c r="D22" t="str">
        <f t="shared" si="2"/>
        <v>0x00000440</v>
      </c>
      <c r="E22" t="str">
        <f t="shared" si="3"/>
        <v>rail[13]</v>
      </c>
    </row>
    <row r="23" spans="2:10" x14ac:dyDescent="0.25">
      <c r="B23">
        <f t="shared" si="4"/>
        <v>14</v>
      </c>
      <c r="C23">
        <f t="shared" si="0"/>
        <v>1152</v>
      </c>
      <c r="D23" t="str">
        <f t="shared" si="2"/>
        <v>0x00000480</v>
      </c>
      <c r="E23" t="str">
        <f t="shared" si="3"/>
        <v>rail[14]</v>
      </c>
    </row>
    <row r="24" spans="2:10" x14ac:dyDescent="0.25">
      <c r="B24">
        <f t="shared" si="4"/>
        <v>15</v>
      </c>
      <c r="C24">
        <f t="shared" si="0"/>
        <v>1216</v>
      </c>
      <c r="D24" t="str">
        <f t="shared" si="2"/>
        <v>0x000004C0</v>
      </c>
      <c r="E24" t="str">
        <f t="shared" si="3"/>
        <v>rail[15]</v>
      </c>
    </row>
    <row r="25" spans="2:10" x14ac:dyDescent="0.25">
      <c r="B25">
        <f t="shared" si="4"/>
        <v>16</v>
      </c>
      <c r="C25">
        <f t="shared" si="0"/>
        <v>1280</v>
      </c>
      <c r="D25" t="str">
        <f t="shared" si="2"/>
        <v>0x00000500</v>
      </c>
      <c r="E25" t="str">
        <f t="shared" si="3"/>
        <v>rail[16]</v>
      </c>
    </row>
    <row r="26" spans="2:10" x14ac:dyDescent="0.25">
      <c r="B26">
        <f t="shared" si="4"/>
        <v>17</v>
      </c>
      <c r="C26">
        <f t="shared" si="0"/>
        <v>1344</v>
      </c>
      <c r="D26" t="str">
        <f t="shared" si="2"/>
        <v>0x00000540</v>
      </c>
      <c r="E26" t="str">
        <f t="shared" si="3"/>
        <v>rail[17]</v>
      </c>
    </row>
    <row r="27" spans="2:10" x14ac:dyDescent="0.25">
      <c r="B27">
        <f t="shared" si="4"/>
        <v>18</v>
      </c>
      <c r="C27">
        <f t="shared" si="0"/>
        <v>1408</v>
      </c>
      <c r="D27" t="str">
        <f t="shared" si="2"/>
        <v>0x00000580</v>
      </c>
      <c r="E27" t="str">
        <f t="shared" si="3"/>
        <v>rail[18]</v>
      </c>
    </row>
    <row r="28" spans="2:10" x14ac:dyDescent="0.25">
      <c r="B28">
        <f t="shared" si="4"/>
        <v>19</v>
      </c>
      <c r="C28">
        <f t="shared" si="0"/>
        <v>1472</v>
      </c>
      <c r="D28" t="str">
        <f t="shared" si="2"/>
        <v>0x000005C0</v>
      </c>
      <c r="E28" t="str">
        <f t="shared" si="3"/>
        <v>rail[19]</v>
      </c>
    </row>
    <row r="29" spans="2:10" x14ac:dyDescent="0.25">
      <c r="B29">
        <f t="shared" si="4"/>
        <v>20</v>
      </c>
      <c r="C29">
        <f t="shared" si="0"/>
        <v>1536</v>
      </c>
      <c r="D29" t="str">
        <f t="shared" si="2"/>
        <v>0x00000600</v>
      </c>
      <c r="E29" t="str">
        <f t="shared" si="3"/>
        <v>rail[20]</v>
      </c>
    </row>
    <row r="30" spans="2:10" x14ac:dyDescent="0.25">
      <c r="B30">
        <f t="shared" si="4"/>
        <v>21</v>
      </c>
      <c r="C30">
        <f t="shared" si="0"/>
        <v>1600</v>
      </c>
      <c r="D30" t="str">
        <f t="shared" si="2"/>
        <v>0x00000640</v>
      </c>
      <c r="E30" t="str">
        <f t="shared" si="3"/>
        <v>rail[21]</v>
      </c>
    </row>
    <row r="31" spans="2:10" x14ac:dyDescent="0.25">
      <c r="B31">
        <f t="shared" si="4"/>
        <v>22</v>
      </c>
      <c r="C31">
        <f t="shared" si="0"/>
        <v>1664</v>
      </c>
      <c r="D31" t="str">
        <f t="shared" si="2"/>
        <v>0x00000680</v>
      </c>
      <c r="E31" t="str">
        <f t="shared" si="3"/>
        <v>rail[22]</v>
      </c>
    </row>
    <row r="32" spans="2:10" x14ac:dyDescent="0.25">
      <c r="B32">
        <f t="shared" si="4"/>
        <v>23</v>
      </c>
      <c r="C32">
        <f t="shared" si="0"/>
        <v>1728</v>
      </c>
      <c r="D32" t="str">
        <f t="shared" si="2"/>
        <v>0x000006C0</v>
      </c>
      <c r="E32" t="str">
        <f t="shared" si="3"/>
        <v>rail[23]</v>
      </c>
    </row>
    <row r="33" spans="2:5" x14ac:dyDescent="0.25">
      <c r="B33">
        <f t="shared" si="4"/>
        <v>24</v>
      </c>
      <c r="C33">
        <f t="shared" si="0"/>
        <v>1792</v>
      </c>
      <c r="D33" t="str">
        <f t="shared" si="2"/>
        <v>0x00000700</v>
      </c>
      <c r="E33" t="str">
        <f t="shared" si="3"/>
        <v>rail[24]</v>
      </c>
    </row>
    <row r="34" spans="2:5" x14ac:dyDescent="0.25">
      <c r="B34">
        <f t="shared" si="4"/>
        <v>25</v>
      </c>
      <c r="C34">
        <f t="shared" si="0"/>
        <v>1856</v>
      </c>
      <c r="D34" t="str">
        <f t="shared" si="2"/>
        <v>0x00000740</v>
      </c>
      <c r="E34" t="str">
        <f t="shared" si="3"/>
        <v>rail[25]</v>
      </c>
    </row>
    <row r="35" spans="2:5" x14ac:dyDescent="0.25">
      <c r="B35">
        <f t="shared" si="4"/>
        <v>26</v>
      </c>
      <c r="C35">
        <f t="shared" si="0"/>
        <v>1920</v>
      </c>
      <c r="D35" t="str">
        <f t="shared" si="2"/>
        <v>0x00000780</v>
      </c>
      <c r="E35" t="str">
        <f t="shared" si="3"/>
        <v>rail[26]</v>
      </c>
    </row>
    <row r="36" spans="2:5" x14ac:dyDescent="0.25">
      <c r="B36">
        <f t="shared" si="4"/>
        <v>27</v>
      </c>
      <c r="C36">
        <f t="shared" si="0"/>
        <v>1984</v>
      </c>
      <c r="D36" t="str">
        <f t="shared" si="2"/>
        <v>0x000007C0</v>
      </c>
      <c r="E36" t="str">
        <f t="shared" si="3"/>
        <v>rail[27]</v>
      </c>
    </row>
    <row r="37" spans="2:5" x14ac:dyDescent="0.25">
      <c r="B37">
        <f t="shared" si="4"/>
        <v>28</v>
      </c>
      <c r="C37">
        <f t="shared" si="0"/>
        <v>2048</v>
      </c>
      <c r="D37" t="str">
        <f t="shared" si="2"/>
        <v>0x00000800</v>
      </c>
      <c r="E37" t="str">
        <f t="shared" si="3"/>
        <v>rail[28]</v>
      </c>
    </row>
    <row r="38" spans="2:5" x14ac:dyDescent="0.25">
      <c r="B38">
        <f t="shared" si="4"/>
        <v>29</v>
      </c>
      <c r="C38">
        <f t="shared" si="0"/>
        <v>2112</v>
      </c>
      <c r="D38" t="str">
        <f t="shared" si="2"/>
        <v>0x00000840</v>
      </c>
      <c r="E38" t="str">
        <f t="shared" si="3"/>
        <v>rail[29]</v>
      </c>
    </row>
    <row r="39" spans="2:5" x14ac:dyDescent="0.25">
      <c r="B39">
        <f t="shared" si="4"/>
        <v>30</v>
      </c>
      <c r="C39">
        <f t="shared" si="0"/>
        <v>2176</v>
      </c>
      <c r="D39" t="str">
        <f t="shared" si="2"/>
        <v>0x00000880</v>
      </c>
      <c r="E39" t="str">
        <f t="shared" si="3"/>
        <v>rail[30]</v>
      </c>
    </row>
    <row r="40" spans="2:5" x14ac:dyDescent="0.25">
      <c r="B40">
        <f t="shared" si="4"/>
        <v>31</v>
      </c>
      <c r="C40">
        <f t="shared" si="0"/>
        <v>2240</v>
      </c>
      <c r="D40" t="str">
        <f t="shared" si="2"/>
        <v>0x000008C0</v>
      </c>
      <c r="E40" t="str">
        <f t="shared" si="3"/>
        <v>rail[31]</v>
      </c>
    </row>
    <row r="41" spans="2:5" x14ac:dyDescent="0.25">
      <c r="C41">
        <f t="shared" ref="C41:C104" si="5">C40+64</f>
        <v>2304</v>
      </c>
      <c r="D41" t="str">
        <f t="shared" si="2"/>
        <v>0x00000900</v>
      </c>
    </row>
    <row r="42" spans="2:5" x14ac:dyDescent="0.25">
      <c r="C42">
        <f t="shared" si="5"/>
        <v>2368</v>
      </c>
      <c r="D42" t="str">
        <f t="shared" si="2"/>
        <v>0x00000940</v>
      </c>
    </row>
    <row r="43" spans="2:5" x14ac:dyDescent="0.25">
      <c r="C43">
        <f t="shared" si="5"/>
        <v>2432</v>
      </c>
      <c r="D43" t="str">
        <f t="shared" si="2"/>
        <v>0x00000980</v>
      </c>
    </row>
    <row r="44" spans="2:5" x14ac:dyDescent="0.25">
      <c r="C44">
        <f t="shared" si="5"/>
        <v>2496</v>
      </c>
      <c r="D44" t="str">
        <f t="shared" si="2"/>
        <v>0x000009C0</v>
      </c>
    </row>
    <row r="45" spans="2:5" x14ac:dyDescent="0.25">
      <c r="C45">
        <f t="shared" si="5"/>
        <v>2560</v>
      </c>
      <c r="D45" t="str">
        <f t="shared" si="2"/>
        <v>0x00000A00</v>
      </c>
    </row>
    <row r="46" spans="2:5" x14ac:dyDescent="0.25">
      <c r="C46">
        <f t="shared" si="5"/>
        <v>2624</v>
      </c>
      <c r="D46" t="str">
        <f t="shared" si="2"/>
        <v>0x00000A40</v>
      </c>
    </row>
    <row r="47" spans="2:5" x14ac:dyDescent="0.25">
      <c r="C47">
        <f t="shared" si="5"/>
        <v>2688</v>
      </c>
      <c r="D47" t="str">
        <f t="shared" si="2"/>
        <v>0x00000A80</v>
      </c>
    </row>
    <row r="48" spans="2:5" x14ac:dyDescent="0.25">
      <c r="C48">
        <f t="shared" si="5"/>
        <v>2752</v>
      </c>
      <c r="D48" t="str">
        <f t="shared" si="2"/>
        <v>0x00000AC0</v>
      </c>
    </row>
    <row r="49" spans="3:4" x14ac:dyDescent="0.25">
      <c r="C49">
        <f t="shared" si="5"/>
        <v>2816</v>
      </c>
      <c r="D49" t="str">
        <f t="shared" si="2"/>
        <v>0x00000B00</v>
      </c>
    </row>
    <row r="50" spans="3:4" x14ac:dyDescent="0.25">
      <c r="C50">
        <f t="shared" si="5"/>
        <v>2880</v>
      </c>
      <c r="D50" t="str">
        <f t="shared" si="2"/>
        <v>0x00000B40</v>
      </c>
    </row>
    <row r="51" spans="3:4" x14ac:dyDescent="0.25">
      <c r="C51">
        <f t="shared" si="5"/>
        <v>2944</v>
      </c>
      <c r="D51" t="str">
        <f t="shared" si="2"/>
        <v>0x00000B80</v>
      </c>
    </row>
    <row r="52" spans="3:4" x14ac:dyDescent="0.25">
      <c r="C52">
        <f t="shared" si="5"/>
        <v>3008</v>
      </c>
      <c r="D52" t="str">
        <f t="shared" si="2"/>
        <v>0x00000BC0</v>
      </c>
    </row>
    <row r="53" spans="3:4" x14ac:dyDescent="0.25">
      <c r="C53">
        <f t="shared" si="5"/>
        <v>3072</v>
      </c>
      <c r="D53" t="str">
        <f t="shared" si="2"/>
        <v>0x00000C00</v>
      </c>
    </row>
    <row r="54" spans="3:4" x14ac:dyDescent="0.25">
      <c r="C54">
        <f t="shared" si="5"/>
        <v>3136</v>
      </c>
      <c r="D54" t="str">
        <f t="shared" si="2"/>
        <v>0x00000C40</v>
      </c>
    </row>
    <row r="55" spans="3:4" x14ac:dyDescent="0.25">
      <c r="C55">
        <f t="shared" si="5"/>
        <v>3200</v>
      </c>
      <c r="D55" t="str">
        <f t="shared" si="2"/>
        <v>0x00000C80</v>
      </c>
    </row>
    <row r="56" spans="3:4" x14ac:dyDescent="0.25">
      <c r="C56">
        <f t="shared" si="5"/>
        <v>3264</v>
      </c>
      <c r="D56" t="str">
        <f t="shared" si="2"/>
        <v>0x00000CC0</v>
      </c>
    </row>
    <row r="57" spans="3:4" x14ac:dyDescent="0.25">
      <c r="C57">
        <f t="shared" si="5"/>
        <v>3328</v>
      </c>
      <c r="D57" t="str">
        <f t="shared" si="2"/>
        <v>0x00000D00</v>
      </c>
    </row>
    <row r="58" spans="3:4" x14ac:dyDescent="0.25">
      <c r="C58">
        <f t="shared" si="5"/>
        <v>3392</v>
      </c>
      <c r="D58" t="str">
        <f t="shared" si="2"/>
        <v>0x00000D40</v>
      </c>
    </row>
    <row r="59" spans="3:4" x14ac:dyDescent="0.25">
      <c r="C59">
        <f t="shared" si="5"/>
        <v>3456</v>
      </c>
      <c r="D59" t="str">
        <f t="shared" si="2"/>
        <v>0x00000D80</v>
      </c>
    </row>
    <row r="60" spans="3:4" x14ac:dyDescent="0.25">
      <c r="C60">
        <f t="shared" si="5"/>
        <v>3520</v>
      </c>
      <c r="D60" t="str">
        <f t="shared" si="2"/>
        <v>0x00000DC0</v>
      </c>
    </row>
    <row r="61" spans="3:4" x14ac:dyDescent="0.25">
      <c r="C61">
        <f t="shared" si="5"/>
        <v>3584</v>
      </c>
      <c r="D61" t="str">
        <f t="shared" si="2"/>
        <v>0x00000E00</v>
      </c>
    </row>
    <row r="62" spans="3:4" x14ac:dyDescent="0.25">
      <c r="C62">
        <f t="shared" si="5"/>
        <v>3648</v>
      </c>
      <c r="D62" t="str">
        <f t="shared" si="2"/>
        <v>0x00000E40</v>
      </c>
    </row>
    <row r="63" spans="3:4" x14ac:dyDescent="0.25">
      <c r="C63">
        <f t="shared" si="5"/>
        <v>3712</v>
      </c>
      <c r="D63" t="str">
        <f t="shared" si="2"/>
        <v>0x00000E80</v>
      </c>
    </row>
    <row r="64" spans="3:4" x14ac:dyDescent="0.25">
      <c r="C64">
        <f t="shared" si="5"/>
        <v>3776</v>
      </c>
      <c r="D64" t="str">
        <f t="shared" si="2"/>
        <v>0x00000EC0</v>
      </c>
    </row>
    <row r="65" spans="3:4" x14ac:dyDescent="0.25">
      <c r="C65">
        <f t="shared" si="5"/>
        <v>3840</v>
      </c>
      <c r="D65" t="str">
        <f t="shared" si="2"/>
        <v>0x00000F00</v>
      </c>
    </row>
    <row r="66" spans="3:4" x14ac:dyDescent="0.25">
      <c r="C66">
        <f t="shared" si="5"/>
        <v>3904</v>
      </c>
      <c r="D66" t="str">
        <f t="shared" si="2"/>
        <v>0x00000F40</v>
      </c>
    </row>
    <row r="67" spans="3:4" x14ac:dyDescent="0.25">
      <c r="C67">
        <f t="shared" si="5"/>
        <v>3968</v>
      </c>
      <c r="D67" t="str">
        <f t="shared" si="2"/>
        <v>0x00000F80</v>
      </c>
    </row>
    <row r="68" spans="3:4" x14ac:dyDescent="0.25">
      <c r="C68">
        <f t="shared" si="5"/>
        <v>4032</v>
      </c>
      <c r="D68" t="str">
        <f t="shared" si="2"/>
        <v>0x00000FC0</v>
      </c>
    </row>
    <row r="69" spans="3:4" x14ac:dyDescent="0.25">
      <c r="C69">
        <f t="shared" si="5"/>
        <v>4096</v>
      </c>
      <c r="D69" t="str">
        <f t="shared" si="2"/>
        <v>0x00001000</v>
      </c>
    </row>
    <row r="70" spans="3:4" x14ac:dyDescent="0.25">
      <c r="C70">
        <f t="shared" si="5"/>
        <v>4160</v>
      </c>
      <c r="D70" t="str">
        <f t="shared" si="2"/>
        <v>0x00001040</v>
      </c>
    </row>
    <row r="71" spans="3:4" x14ac:dyDescent="0.25">
      <c r="C71">
        <f t="shared" si="5"/>
        <v>4224</v>
      </c>
      <c r="D71" t="str">
        <f t="shared" si="2"/>
        <v>0x00001080</v>
      </c>
    </row>
    <row r="72" spans="3:4" x14ac:dyDescent="0.25">
      <c r="C72">
        <f t="shared" si="5"/>
        <v>4288</v>
      </c>
      <c r="D72" t="str">
        <f t="shared" si="2"/>
        <v>0x000010C0</v>
      </c>
    </row>
    <row r="73" spans="3:4" x14ac:dyDescent="0.25">
      <c r="C73">
        <f t="shared" si="5"/>
        <v>4352</v>
      </c>
      <c r="D73" t="str">
        <f t="shared" si="2"/>
        <v>0x00001100</v>
      </c>
    </row>
    <row r="74" spans="3:4" x14ac:dyDescent="0.25">
      <c r="C74">
        <f t="shared" si="5"/>
        <v>4416</v>
      </c>
      <c r="D74" t="str">
        <f t="shared" ref="D74:D135" si="6">_xlfn.CONCAT("0x",DEC2HEX(C74,8))</f>
        <v>0x00001140</v>
      </c>
    </row>
    <row r="75" spans="3:4" x14ac:dyDescent="0.25">
      <c r="C75">
        <f t="shared" si="5"/>
        <v>4480</v>
      </c>
      <c r="D75" t="str">
        <f t="shared" si="6"/>
        <v>0x00001180</v>
      </c>
    </row>
    <row r="76" spans="3:4" x14ac:dyDescent="0.25">
      <c r="C76">
        <f t="shared" si="5"/>
        <v>4544</v>
      </c>
      <c r="D76" t="str">
        <f t="shared" si="6"/>
        <v>0x000011C0</v>
      </c>
    </row>
    <row r="77" spans="3:4" x14ac:dyDescent="0.25">
      <c r="C77">
        <f t="shared" si="5"/>
        <v>4608</v>
      </c>
      <c r="D77" t="str">
        <f t="shared" si="6"/>
        <v>0x00001200</v>
      </c>
    </row>
    <row r="78" spans="3:4" x14ac:dyDescent="0.25">
      <c r="C78">
        <f t="shared" si="5"/>
        <v>4672</v>
      </c>
      <c r="D78" t="str">
        <f t="shared" si="6"/>
        <v>0x00001240</v>
      </c>
    </row>
    <row r="79" spans="3:4" x14ac:dyDescent="0.25">
      <c r="C79">
        <f t="shared" si="5"/>
        <v>4736</v>
      </c>
      <c r="D79" t="str">
        <f t="shared" si="6"/>
        <v>0x00001280</v>
      </c>
    </row>
    <row r="80" spans="3:4" x14ac:dyDescent="0.25">
      <c r="C80">
        <f t="shared" si="5"/>
        <v>4800</v>
      </c>
      <c r="D80" t="str">
        <f t="shared" si="6"/>
        <v>0x000012C0</v>
      </c>
    </row>
    <row r="81" spans="3:4" x14ac:dyDescent="0.25">
      <c r="C81">
        <f t="shared" si="5"/>
        <v>4864</v>
      </c>
      <c r="D81" t="str">
        <f t="shared" si="6"/>
        <v>0x00001300</v>
      </c>
    </row>
    <row r="82" spans="3:4" x14ac:dyDescent="0.25">
      <c r="C82">
        <f t="shared" si="5"/>
        <v>4928</v>
      </c>
      <c r="D82" t="str">
        <f t="shared" si="6"/>
        <v>0x00001340</v>
      </c>
    </row>
    <row r="83" spans="3:4" x14ac:dyDescent="0.25">
      <c r="C83">
        <f t="shared" si="5"/>
        <v>4992</v>
      </c>
      <c r="D83" t="str">
        <f t="shared" si="6"/>
        <v>0x00001380</v>
      </c>
    </row>
    <row r="84" spans="3:4" x14ac:dyDescent="0.25">
      <c r="C84">
        <f t="shared" si="5"/>
        <v>5056</v>
      </c>
      <c r="D84" t="str">
        <f t="shared" si="6"/>
        <v>0x000013C0</v>
      </c>
    </row>
    <row r="85" spans="3:4" x14ac:dyDescent="0.25">
      <c r="C85">
        <f t="shared" si="5"/>
        <v>5120</v>
      </c>
      <c r="D85" t="str">
        <f t="shared" si="6"/>
        <v>0x00001400</v>
      </c>
    </row>
    <row r="86" spans="3:4" x14ac:dyDescent="0.25">
      <c r="C86">
        <f t="shared" si="5"/>
        <v>5184</v>
      </c>
      <c r="D86" t="str">
        <f t="shared" si="6"/>
        <v>0x00001440</v>
      </c>
    </row>
    <row r="87" spans="3:4" x14ac:dyDescent="0.25">
      <c r="C87">
        <f t="shared" si="5"/>
        <v>5248</v>
      </c>
      <c r="D87" t="str">
        <f t="shared" si="6"/>
        <v>0x00001480</v>
      </c>
    </row>
    <row r="88" spans="3:4" x14ac:dyDescent="0.25">
      <c r="C88">
        <f t="shared" si="5"/>
        <v>5312</v>
      </c>
      <c r="D88" t="str">
        <f t="shared" si="6"/>
        <v>0x000014C0</v>
      </c>
    </row>
    <row r="89" spans="3:4" x14ac:dyDescent="0.25">
      <c r="C89">
        <f t="shared" si="5"/>
        <v>5376</v>
      </c>
      <c r="D89" t="str">
        <f t="shared" si="6"/>
        <v>0x00001500</v>
      </c>
    </row>
    <row r="90" spans="3:4" x14ac:dyDescent="0.25">
      <c r="C90">
        <f t="shared" si="5"/>
        <v>5440</v>
      </c>
      <c r="D90" t="str">
        <f t="shared" si="6"/>
        <v>0x00001540</v>
      </c>
    </row>
    <row r="91" spans="3:4" x14ac:dyDescent="0.25">
      <c r="C91">
        <f t="shared" si="5"/>
        <v>5504</v>
      </c>
      <c r="D91" t="str">
        <f t="shared" si="6"/>
        <v>0x00001580</v>
      </c>
    </row>
    <row r="92" spans="3:4" x14ac:dyDescent="0.25">
      <c r="C92">
        <f t="shared" si="5"/>
        <v>5568</v>
      </c>
      <c r="D92" t="str">
        <f t="shared" si="6"/>
        <v>0x000015C0</v>
      </c>
    </row>
    <row r="93" spans="3:4" x14ac:dyDescent="0.25">
      <c r="C93">
        <f t="shared" si="5"/>
        <v>5632</v>
      </c>
      <c r="D93" t="str">
        <f t="shared" si="6"/>
        <v>0x00001600</v>
      </c>
    </row>
    <row r="94" spans="3:4" x14ac:dyDescent="0.25">
      <c r="C94">
        <f t="shared" si="5"/>
        <v>5696</v>
      </c>
      <c r="D94" t="str">
        <f t="shared" si="6"/>
        <v>0x00001640</v>
      </c>
    </row>
    <row r="95" spans="3:4" x14ac:dyDescent="0.25">
      <c r="C95">
        <f t="shared" si="5"/>
        <v>5760</v>
      </c>
      <c r="D95" t="str">
        <f t="shared" si="6"/>
        <v>0x00001680</v>
      </c>
    </row>
    <row r="96" spans="3:4" x14ac:dyDescent="0.25">
      <c r="C96">
        <f t="shared" si="5"/>
        <v>5824</v>
      </c>
      <c r="D96" t="str">
        <f t="shared" si="6"/>
        <v>0x000016C0</v>
      </c>
    </row>
    <row r="97" spans="3:4" x14ac:dyDescent="0.25">
      <c r="C97">
        <f t="shared" si="5"/>
        <v>5888</v>
      </c>
      <c r="D97" t="str">
        <f t="shared" si="6"/>
        <v>0x00001700</v>
      </c>
    </row>
    <row r="98" spans="3:4" x14ac:dyDescent="0.25">
      <c r="C98">
        <f t="shared" si="5"/>
        <v>5952</v>
      </c>
      <c r="D98" t="str">
        <f t="shared" si="6"/>
        <v>0x00001740</v>
      </c>
    </row>
    <row r="99" spans="3:4" x14ac:dyDescent="0.25">
      <c r="C99">
        <f t="shared" si="5"/>
        <v>6016</v>
      </c>
      <c r="D99" t="str">
        <f t="shared" si="6"/>
        <v>0x00001780</v>
      </c>
    </row>
    <row r="100" spans="3:4" x14ac:dyDescent="0.25">
      <c r="C100">
        <f t="shared" si="5"/>
        <v>6080</v>
      </c>
      <c r="D100" t="str">
        <f t="shared" si="6"/>
        <v>0x000017C0</v>
      </c>
    </row>
    <row r="101" spans="3:4" x14ac:dyDescent="0.25">
      <c r="C101">
        <f t="shared" si="5"/>
        <v>6144</v>
      </c>
      <c r="D101" t="str">
        <f t="shared" si="6"/>
        <v>0x00001800</v>
      </c>
    </row>
    <row r="102" spans="3:4" x14ac:dyDescent="0.25">
      <c r="C102">
        <f t="shared" si="5"/>
        <v>6208</v>
      </c>
      <c r="D102" t="str">
        <f t="shared" si="6"/>
        <v>0x00001840</v>
      </c>
    </row>
    <row r="103" spans="3:4" x14ac:dyDescent="0.25">
      <c r="C103">
        <f t="shared" si="5"/>
        <v>6272</v>
      </c>
      <c r="D103" t="str">
        <f t="shared" si="6"/>
        <v>0x00001880</v>
      </c>
    </row>
    <row r="104" spans="3:4" x14ac:dyDescent="0.25">
      <c r="C104">
        <f t="shared" si="5"/>
        <v>6336</v>
      </c>
      <c r="D104" t="str">
        <f t="shared" si="6"/>
        <v>0x000018C0</v>
      </c>
    </row>
    <row r="105" spans="3:4" x14ac:dyDescent="0.25">
      <c r="C105">
        <f t="shared" ref="C105:C135" si="7">C104+64</f>
        <v>6400</v>
      </c>
      <c r="D105" t="str">
        <f t="shared" si="6"/>
        <v>0x00001900</v>
      </c>
    </row>
    <row r="106" spans="3:4" x14ac:dyDescent="0.25">
      <c r="C106">
        <f t="shared" si="7"/>
        <v>6464</v>
      </c>
      <c r="D106" t="str">
        <f t="shared" si="6"/>
        <v>0x00001940</v>
      </c>
    </row>
    <row r="107" spans="3:4" x14ac:dyDescent="0.25">
      <c r="C107">
        <f t="shared" si="7"/>
        <v>6528</v>
      </c>
      <c r="D107" t="str">
        <f t="shared" si="6"/>
        <v>0x00001980</v>
      </c>
    </row>
    <row r="108" spans="3:4" x14ac:dyDescent="0.25">
      <c r="C108">
        <f t="shared" si="7"/>
        <v>6592</v>
      </c>
      <c r="D108" t="str">
        <f t="shared" si="6"/>
        <v>0x000019C0</v>
      </c>
    </row>
    <row r="109" spans="3:4" x14ac:dyDescent="0.25">
      <c r="C109">
        <f t="shared" si="7"/>
        <v>6656</v>
      </c>
      <c r="D109" t="str">
        <f t="shared" si="6"/>
        <v>0x00001A00</v>
      </c>
    </row>
    <row r="110" spans="3:4" x14ac:dyDescent="0.25">
      <c r="C110">
        <f t="shared" si="7"/>
        <v>6720</v>
      </c>
      <c r="D110" t="str">
        <f t="shared" si="6"/>
        <v>0x00001A40</v>
      </c>
    </row>
    <row r="111" spans="3:4" x14ac:dyDescent="0.25">
      <c r="C111">
        <f t="shared" si="7"/>
        <v>6784</v>
      </c>
      <c r="D111" t="str">
        <f t="shared" si="6"/>
        <v>0x00001A80</v>
      </c>
    </row>
    <row r="112" spans="3:4" x14ac:dyDescent="0.25">
      <c r="C112">
        <f t="shared" si="7"/>
        <v>6848</v>
      </c>
      <c r="D112" t="str">
        <f t="shared" si="6"/>
        <v>0x00001AC0</v>
      </c>
    </row>
    <row r="113" spans="3:4" x14ac:dyDescent="0.25">
      <c r="C113">
        <f t="shared" si="7"/>
        <v>6912</v>
      </c>
      <c r="D113" t="str">
        <f t="shared" si="6"/>
        <v>0x00001B00</v>
      </c>
    </row>
    <row r="114" spans="3:4" x14ac:dyDescent="0.25">
      <c r="C114">
        <f t="shared" si="7"/>
        <v>6976</v>
      </c>
      <c r="D114" t="str">
        <f t="shared" si="6"/>
        <v>0x00001B40</v>
      </c>
    </row>
    <row r="115" spans="3:4" x14ac:dyDescent="0.25">
      <c r="C115">
        <f t="shared" si="7"/>
        <v>7040</v>
      </c>
      <c r="D115" t="str">
        <f t="shared" si="6"/>
        <v>0x00001B80</v>
      </c>
    </row>
    <row r="116" spans="3:4" x14ac:dyDescent="0.25">
      <c r="C116">
        <f t="shared" si="7"/>
        <v>7104</v>
      </c>
      <c r="D116" t="str">
        <f t="shared" si="6"/>
        <v>0x00001BC0</v>
      </c>
    </row>
    <row r="117" spans="3:4" x14ac:dyDescent="0.25">
      <c r="C117">
        <f t="shared" si="7"/>
        <v>7168</v>
      </c>
      <c r="D117" t="str">
        <f t="shared" si="6"/>
        <v>0x00001C00</v>
      </c>
    </row>
    <row r="118" spans="3:4" x14ac:dyDescent="0.25">
      <c r="C118">
        <f t="shared" si="7"/>
        <v>7232</v>
      </c>
      <c r="D118" t="str">
        <f t="shared" si="6"/>
        <v>0x00001C40</v>
      </c>
    </row>
    <row r="119" spans="3:4" x14ac:dyDescent="0.25">
      <c r="C119">
        <f t="shared" si="7"/>
        <v>7296</v>
      </c>
      <c r="D119" t="str">
        <f t="shared" si="6"/>
        <v>0x00001C80</v>
      </c>
    </row>
    <row r="120" spans="3:4" x14ac:dyDescent="0.25">
      <c r="C120">
        <f t="shared" si="7"/>
        <v>7360</v>
      </c>
      <c r="D120" t="str">
        <f t="shared" si="6"/>
        <v>0x00001CC0</v>
      </c>
    </row>
    <row r="121" spans="3:4" x14ac:dyDescent="0.25">
      <c r="C121">
        <f t="shared" si="7"/>
        <v>7424</v>
      </c>
      <c r="D121" t="str">
        <f t="shared" si="6"/>
        <v>0x00001D00</v>
      </c>
    </row>
    <row r="122" spans="3:4" x14ac:dyDescent="0.25">
      <c r="C122">
        <f t="shared" si="7"/>
        <v>7488</v>
      </c>
      <c r="D122" t="str">
        <f t="shared" si="6"/>
        <v>0x00001D40</v>
      </c>
    </row>
    <row r="123" spans="3:4" x14ac:dyDescent="0.25">
      <c r="C123">
        <f t="shared" si="7"/>
        <v>7552</v>
      </c>
      <c r="D123" t="str">
        <f t="shared" si="6"/>
        <v>0x00001D80</v>
      </c>
    </row>
    <row r="124" spans="3:4" x14ac:dyDescent="0.25">
      <c r="C124">
        <f t="shared" si="7"/>
        <v>7616</v>
      </c>
      <c r="D124" t="str">
        <f t="shared" si="6"/>
        <v>0x00001DC0</v>
      </c>
    </row>
    <row r="125" spans="3:4" x14ac:dyDescent="0.25">
      <c r="C125">
        <f t="shared" si="7"/>
        <v>7680</v>
      </c>
      <c r="D125" t="str">
        <f t="shared" si="6"/>
        <v>0x00001E00</v>
      </c>
    </row>
    <row r="126" spans="3:4" x14ac:dyDescent="0.25">
      <c r="C126">
        <f t="shared" si="7"/>
        <v>7744</v>
      </c>
      <c r="D126" t="str">
        <f t="shared" si="6"/>
        <v>0x00001E40</v>
      </c>
    </row>
    <row r="127" spans="3:4" x14ac:dyDescent="0.25">
      <c r="C127">
        <f t="shared" si="7"/>
        <v>7808</v>
      </c>
      <c r="D127" t="str">
        <f t="shared" si="6"/>
        <v>0x00001E80</v>
      </c>
    </row>
    <row r="128" spans="3:4" x14ac:dyDescent="0.25">
      <c r="C128">
        <f t="shared" si="7"/>
        <v>7872</v>
      </c>
      <c r="D128" t="str">
        <f t="shared" si="6"/>
        <v>0x00001EC0</v>
      </c>
    </row>
    <row r="129" spans="3:4" x14ac:dyDescent="0.25">
      <c r="C129">
        <f t="shared" si="7"/>
        <v>7936</v>
      </c>
      <c r="D129" t="str">
        <f t="shared" si="6"/>
        <v>0x00001F00</v>
      </c>
    </row>
    <row r="130" spans="3:4" x14ac:dyDescent="0.25">
      <c r="C130">
        <f t="shared" si="7"/>
        <v>8000</v>
      </c>
      <c r="D130" t="str">
        <f t="shared" si="6"/>
        <v>0x00001F40</v>
      </c>
    </row>
    <row r="131" spans="3:4" x14ac:dyDescent="0.25">
      <c r="C131">
        <f t="shared" si="7"/>
        <v>8064</v>
      </c>
      <c r="D131" t="str">
        <f t="shared" si="6"/>
        <v>0x00001F80</v>
      </c>
    </row>
    <row r="132" spans="3:4" x14ac:dyDescent="0.25">
      <c r="C132">
        <f t="shared" si="7"/>
        <v>8128</v>
      </c>
      <c r="D132" t="str">
        <f t="shared" si="6"/>
        <v>0x00001FC0</v>
      </c>
    </row>
    <row r="133" spans="3:4" x14ac:dyDescent="0.25">
      <c r="C133">
        <f t="shared" si="7"/>
        <v>8192</v>
      </c>
      <c r="D133" t="str">
        <f t="shared" si="6"/>
        <v>0x00002000</v>
      </c>
    </row>
    <row r="134" spans="3:4" x14ac:dyDescent="0.25">
      <c r="C134">
        <f t="shared" si="7"/>
        <v>8256</v>
      </c>
      <c r="D134" t="str">
        <f t="shared" si="6"/>
        <v>0x00002040</v>
      </c>
    </row>
    <row r="135" spans="3:4" x14ac:dyDescent="0.25">
      <c r="C135">
        <f t="shared" si="7"/>
        <v>8320</v>
      </c>
      <c r="D135" t="str">
        <f t="shared" si="6"/>
        <v>0x00002080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E6EA-2DB9-4BF4-B5ED-2EA9E3A35C2F}">
  <dimension ref="A1:B11"/>
  <sheetViews>
    <sheetView workbookViewId="0">
      <selection activeCell="B3" sqref="B3"/>
    </sheetView>
  </sheetViews>
  <sheetFormatPr defaultRowHeight="15" x14ac:dyDescent="0.25"/>
  <sheetData>
    <row r="1" spans="1:2" x14ac:dyDescent="0.25">
      <c r="B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70AF-0373-4712-9F3B-6CF57294038B}">
  <dimension ref="B3:I23"/>
  <sheetViews>
    <sheetView workbookViewId="0">
      <selection activeCell="I23" sqref="I23"/>
    </sheetView>
  </sheetViews>
  <sheetFormatPr defaultRowHeight="15" x14ac:dyDescent="0.25"/>
  <cols>
    <col min="2" max="2" width="10.85546875" bestFit="1" customWidth="1"/>
    <col min="3" max="3" width="12.7109375" customWidth="1"/>
    <col min="4" max="4" width="18" customWidth="1"/>
    <col min="6" max="6" width="18.7109375" customWidth="1"/>
    <col min="7" max="7" width="18" customWidth="1"/>
  </cols>
  <sheetData>
    <row r="3" spans="2:7" x14ac:dyDescent="0.25">
      <c r="B3" s="12" t="s">
        <v>949</v>
      </c>
      <c r="C3" s="13">
        <f>HEX2DEC(RIGHT(B3,8))</f>
        <v>1074266112</v>
      </c>
      <c r="D3" s="13" t="s">
        <v>951</v>
      </c>
      <c r="E3" s="14" t="s">
        <v>950</v>
      </c>
      <c r="F3" t="s">
        <v>966</v>
      </c>
    </row>
    <row r="4" spans="2:7" x14ac:dyDescent="0.25">
      <c r="B4" s="26"/>
      <c r="D4" t="s">
        <v>952</v>
      </c>
      <c r="E4" s="27" t="s">
        <v>953</v>
      </c>
    </row>
    <row r="5" spans="2:7" x14ac:dyDescent="0.25">
      <c r="B5" s="26"/>
      <c r="D5" t="s">
        <v>954</v>
      </c>
      <c r="E5" s="27" t="s">
        <v>955</v>
      </c>
      <c r="F5" t="s">
        <v>956</v>
      </c>
      <c r="G5" t="s">
        <v>957</v>
      </c>
    </row>
    <row r="6" spans="2:7" x14ac:dyDescent="0.25">
      <c r="B6" s="26"/>
      <c r="D6" t="s">
        <v>958</v>
      </c>
      <c r="E6" s="27" t="s">
        <v>959</v>
      </c>
      <c r="F6" t="s">
        <v>960</v>
      </c>
    </row>
    <row r="7" spans="2:7" x14ac:dyDescent="0.25">
      <c r="B7" s="26"/>
      <c r="E7" s="27" t="s">
        <v>961</v>
      </c>
    </row>
    <row r="8" spans="2:7" x14ac:dyDescent="0.25">
      <c r="B8" s="26"/>
      <c r="E8" s="27" t="s">
        <v>962</v>
      </c>
    </row>
    <row r="9" spans="2:7" x14ac:dyDescent="0.25">
      <c r="B9" s="26"/>
      <c r="E9" s="27" t="s">
        <v>963</v>
      </c>
    </row>
    <row r="10" spans="2:7" x14ac:dyDescent="0.25">
      <c r="B10" s="15"/>
      <c r="C10" s="16"/>
      <c r="D10" s="16"/>
      <c r="E10" s="17" t="s">
        <v>964</v>
      </c>
    </row>
    <row r="11" spans="2:7" x14ac:dyDescent="0.25">
      <c r="D11" t="s">
        <v>969</v>
      </c>
      <c r="E11" t="s">
        <v>965</v>
      </c>
      <c r="F11" s="13">
        <f>HEX2DEC(RIGHT(E11,2))</f>
        <v>32</v>
      </c>
    </row>
    <row r="12" spans="2:7" x14ac:dyDescent="0.25">
      <c r="E12" t="s">
        <v>967</v>
      </c>
      <c r="F12">
        <f>F11+32</f>
        <v>64</v>
      </c>
    </row>
    <row r="13" spans="2:7" x14ac:dyDescent="0.25">
      <c r="E13" t="str">
        <f>_xlfn.CONCAT("0x",DEC2HEX(F13,4))</f>
        <v>0x0060</v>
      </c>
      <c r="F13">
        <f t="shared" ref="F13:F21" si="0">F12+32</f>
        <v>96</v>
      </c>
    </row>
    <row r="14" spans="2:7" x14ac:dyDescent="0.25">
      <c r="E14" t="str">
        <f t="shared" ref="E14:E21" si="1">_xlfn.CONCAT("0x",DEC2HEX(F14,4))</f>
        <v>0x0080</v>
      </c>
      <c r="F14">
        <f t="shared" si="0"/>
        <v>128</v>
      </c>
    </row>
    <row r="15" spans="2:7" x14ac:dyDescent="0.25">
      <c r="E15" t="str">
        <f t="shared" si="1"/>
        <v>0x00A0</v>
      </c>
      <c r="F15">
        <f t="shared" si="0"/>
        <v>160</v>
      </c>
    </row>
    <row r="16" spans="2:7" x14ac:dyDescent="0.25">
      <c r="E16" t="str">
        <f t="shared" si="1"/>
        <v>0x00C0</v>
      </c>
      <c r="F16">
        <f t="shared" si="0"/>
        <v>192</v>
      </c>
    </row>
    <row r="17" spans="2:9" x14ac:dyDescent="0.25">
      <c r="E17" t="str">
        <f t="shared" si="1"/>
        <v>0x00E0</v>
      </c>
      <c r="F17">
        <f t="shared" si="0"/>
        <v>224</v>
      </c>
    </row>
    <row r="18" spans="2:9" x14ac:dyDescent="0.25">
      <c r="E18" t="str">
        <f t="shared" si="1"/>
        <v>0x0100</v>
      </c>
      <c r="F18">
        <f t="shared" si="0"/>
        <v>256</v>
      </c>
    </row>
    <row r="19" spans="2:9" x14ac:dyDescent="0.25">
      <c r="E19" t="str">
        <f t="shared" si="1"/>
        <v>0x0120</v>
      </c>
      <c r="F19">
        <f t="shared" si="0"/>
        <v>288</v>
      </c>
    </row>
    <row r="20" spans="2:9" x14ac:dyDescent="0.25">
      <c r="E20" t="str">
        <f t="shared" si="1"/>
        <v>0x0140</v>
      </c>
      <c r="F20">
        <f t="shared" si="0"/>
        <v>320</v>
      </c>
    </row>
    <row r="21" spans="2:9" x14ac:dyDescent="0.25">
      <c r="D21" t="s">
        <v>970</v>
      </c>
      <c r="E21" t="str">
        <f t="shared" si="1"/>
        <v>0x0160</v>
      </c>
      <c r="F21">
        <f t="shared" si="0"/>
        <v>352</v>
      </c>
    </row>
    <row r="23" spans="2:9" x14ac:dyDescent="0.25">
      <c r="B23" s="12" t="s">
        <v>968</v>
      </c>
      <c r="C23" s="13">
        <f>HEX2DEC(RIGHT(B23,8))</f>
        <v>1074268160</v>
      </c>
      <c r="D23" t="s">
        <v>971</v>
      </c>
      <c r="E23" t="s">
        <v>972</v>
      </c>
      <c r="H23" t="s">
        <v>973</v>
      </c>
      <c r="I23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 cross pinning</vt:lpstr>
      <vt:lpstr>Pinning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Drinkard</dc:creator>
  <cp:lastModifiedBy>Dale Drinkard</cp:lastModifiedBy>
  <dcterms:created xsi:type="dcterms:W3CDTF">2026-08-27T13:49:23Z</dcterms:created>
  <dcterms:modified xsi:type="dcterms:W3CDTF">2026-10-26T21:31:53Z</dcterms:modified>
</cp:coreProperties>
</file>