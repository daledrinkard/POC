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esasgroup-my.sharepoint.com/personal/takuya_katayama_px_renesas_com/Documents/Documents/Products/D620/"/>
    </mc:Choice>
  </mc:AlternateContent>
  <xr:revisionPtr revIDLastSave="461" documentId="8_{B77191B6-4090-49FA-B0B6-2846E68FF57E}" xr6:coauthVersionLast="47" xr6:coauthVersionMax="47" xr10:uidLastSave="{1E2B24DB-4308-4A7F-9FC2-44F21D9B9945}"/>
  <bookViews>
    <workbookView xWindow="420" yWindow="1155" windowWidth="21600" windowHeight="15180" activeTab="2" xr2:uid="{796A6475-E8F1-4464-8E38-7F0969700445}"/>
  </bookViews>
  <sheets>
    <sheet name="100 Base" sheetId="2" r:id="rId1"/>
    <sheet name="64 Base" sheetId="5" r:id="rId2"/>
    <sheet name="100 #1" sheetId="3" r:id="rId3"/>
    <sheet name="100 #2" sheetId="10" r:id="rId4"/>
    <sheet name="64 #1" sheetId="7" r:id="rId5"/>
    <sheet name="64 #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9" i="10" l="1"/>
  <c r="B35" i="10"/>
  <c r="B34" i="10"/>
  <c r="B33" i="10"/>
  <c r="B36" i="10" s="1"/>
  <c r="B32" i="10"/>
  <c r="B29" i="8"/>
  <c r="B25" i="8"/>
  <c r="B24" i="8"/>
  <c r="B23" i="8"/>
  <c r="B22" i="8"/>
  <c r="B29" i="7"/>
  <c r="B25" i="7"/>
  <c r="B24" i="7"/>
  <c r="B23" i="7"/>
  <c r="B22" i="7"/>
  <c r="B24" i="5"/>
  <c r="B23" i="5"/>
  <c r="B22" i="5"/>
  <c r="B39" i="3"/>
  <c r="B34" i="3"/>
  <c r="B35" i="3"/>
  <c r="B32" i="3"/>
  <c r="B36" i="2"/>
  <c r="B34" i="2"/>
  <c r="B33" i="2"/>
  <c r="B32" i="2"/>
  <c r="B37" i="10" l="1"/>
  <c r="B26" i="7"/>
  <c r="B27" i="7" s="1"/>
  <c r="B26" i="8"/>
  <c r="B27" i="8" s="1"/>
  <c r="B33" i="3"/>
  <c r="B36" i="3" s="1"/>
  <c r="B3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tc={0275F5E8-D7A6-491B-8326-7BD2B87B7083}</author>
    <author>tc={DCC5A65D-C21B-43E7-987F-58A4A3785DA6}</author>
  </authors>
  <commentList>
    <comment ref="B36" authorId="0" shapeId="0" xr:uid="{0275F5E8-D7A6-491B-8326-7BD2B87B7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ADC &gt; EN does not make sense. Need to lower ADC or PWM. It also does not allow cascading with this configuration</t>
      </text>
    </comment>
    <comment ref="B39" authorId="1" shapeId="0" xr:uid="{DCC5A65D-C21B-43E7-987F-58A4A3785DA6}">
      <text>
        <t>[Threaded comment]
Your version of Excel allows you to read this threaded comment; however, any edits to it will get removed if the file is opened in a newer version of Excel. Learn more: https://go.microsoft.com/fwlink/?linkid=870924
Comment:
    JTAG is only for development and will be used as GPIO for product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tc={188BBF7B-C398-4F52-95E0-9E2257A5937F}</author>
    <author>tc={0DC4D486-7224-453E-9618-DABD97B91783}</author>
  </authors>
  <commentList>
    <comment ref="B36" authorId="0" shapeId="0" xr:uid="{188BBF7B-C398-4F52-95E0-9E2257A5937F}">
      <text>
        <t>[Threaded comment]
Your version of Excel allows you to read this threaded comment; however, any edits to it will get removed if the file is opened in a newer version of Excel. Learn more: https://go.microsoft.com/fwlink/?linkid=870924
Comment:
    ADC &gt; EN does not make sense. Need to lower ADC or PWM. It also does not allow cascading with this configuration</t>
      </text>
    </comment>
    <comment ref="B39" authorId="1" shapeId="0" xr:uid="{0DC4D486-7224-453E-9618-DABD97B91783}">
      <text>
        <t>[Threaded comment]
Your version of Excel allows you to read this threaded comment; however, any edits to it will get removed if the file is opened in a newer version of Excel. Learn more: https://go.microsoft.com/fwlink/?linkid=870924
Comment:
    JTAG is only for development and will be used as GPIO for product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tc={4561E63F-A426-4162-A005-16A4DF8FAEE2}</author>
    <author>tc={E57CAC2A-D50F-42D7-BA75-7637D70E5119}</author>
  </authors>
  <commentList>
    <comment ref="B26" authorId="0" shapeId="0" xr:uid="{4561E63F-A426-4162-A005-16A4DF8FAEE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 does not need PWM. Assigning 18 to EN, which leaves 8 for cascading.</t>
      </text>
    </comment>
    <comment ref="B29" authorId="1" shapeId="0" xr:uid="{E57CAC2A-D50F-42D7-BA75-7637D70E5119}">
      <text>
        <t>[Threaded comment]
Your version of Excel allows you to read this threaded comment; however, any edits to it will get removed if the file is opened in a newer version of Excel. Learn more: https://go.microsoft.com/fwlink/?linkid=870924
Comment:
    JTAG is only for development and will be used as GPIO for product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tc={FA527F5D-A090-424C-81A1-1958FC29BE80}</author>
    <author>tc={134F5E88-48CD-4149-ACA1-8823C24B102C}</author>
  </authors>
  <commentList>
    <comment ref="B26" authorId="0" shapeId="0" xr:uid="{FA527F5D-A090-424C-81A1-1958FC29BE80}">
      <text>
        <t>[Threaded comment]
Your version of Excel allows you to read this threaded comment; however, any edits to it will get removed if the file is opened in a newer version of Excel. Learn more: https://go.microsoft.com/fwlink/?linkid=870924
Comment:
    16 EN + 6  cascading</t>
      </text>
    </comment>
    <comment ref="B29" authorId="1" shapeId="0" xr:uid="{134F5E88-48CD-4149-ACA1-8823C24B102C}">
      <text>
        <t>[Threaded comment]
Your version of Excel allows you to read this threaded comment; however, any edits to it will get removed if the file is opened in a newer version of Excel. Learn more: https://go.microsoft.com/fwlink/?linkid=870924
Comment:
    JTAG is only for development and will be used as GPIO for product</t>
      </text>
    </comment>
  </commentList>
</comments>
</file>

<file path=xl/sharedStrings.xml><?xml version="1.0" encoding="utf-8"?>
<sst xmlns="http://schemas.openxmlformats.org/spreadsheetml/2006/main" count="539" uniqueCount="189">
  <si>
    <t>PA12</t>
  </si>
  <si>
    <t>PE02</t>
  </si>
  <si>
    <t>PE03</t>
  </si>
  <si>
    <t>PE05</t>
  </si>
  <si>
    <t>PE06</t>
  </si>
  <si>
    <t>PC13</t>
  </si>
  <si>
    <t>PC14</t>
  </si>
  <si>
    <t>PC15</t>
  </si>
  <si>
    <t>P212/EXTAL</t>
  </si>
  <si>
    <t>P213/XTAL</t>
  </si>
  <si>
    <t>PC12</t>
  </si>
  <si>
    <t>PD01</t>
  </si>
  <si>
    <t>PD03</t>
  </si>
  <si>
    <t>PD04</t>
  </si>
  <si>
    <t>PD05</t>
  </si>
  <si>
    <t>PD07</t>
  </si>
  <si>
    <t>PB05</t>
  </si>
  <si>
    <t>PB06</t>
  </si>
  <si>
    <t>PB07</t>
  </si>
  <si>
    <t>PB08</t>
  </si>
  <si>
    <t>PB09</t>
  </si>
  <si>
    <t>PE00</t>
  </si>
  <si>
    <t>PE01</t>
  </si>
  <si>
    <t>PE02 (GTO)</t>
  </si>
  <si>
    <t>PE04 (GTO)</t>
  </si>
  <si>
    <t>PE06 (GTO)</t>
  </si>
  <si>
    <t>PWM</t>
  </si>
  <si>
    <t>ADC</t>
  </si>
  <si>
    <t>PC00 (AN)</t>
  </si>
  <si>
    <t>PC01 (AN)</t>
  </si>
  <si>
    <t>PC02 (AN)</t>
  </si>
  <si>
    <t>PC03 (AN)</t>
  </si>
  <si>
    <t>P000 (AN)</t>
  </si>
  <si>
    <t>P001 (AN)</t>
  </si>
  <si>
    <t>PA00 (AN)</t>
  </si>
  <si>
    <t>PA01 (AN)</t>
  </si>
  <si>
    <t>PA02 (AN)</t>
  </si>
  <si>
    <t>PA03 (AN)</t>
  </si>
  <si>
    <t>PA04 (AN)</t>
  </si>
  <si>
    <t>PE09 (AN)</t>
  </si>
  <si>
    <t>PE08 (AN)</t>
  </si>
  <si>
    <t>P002 (AN)</t>
  </si>
  <si>
    <t>PB02 (AN)</t>
  </si>
  <si>
    <t>PB01 (AN)</t>
  </si>
  <si>
    <t>PB00 (AN)</t>
  </si>
  <si>
    <t>PC05 (AN)</t>
  </si>
  <si>
    <t>PC04 (AN)</t>
  </si>
  <si>
    <t>PA07 (AN)</t>
  </si>
  <si>
    <t>PA06 (AN)</t>
  </si>
  <si>
    <t>PA05 (AN)</t>
  </si>
  <si>
    <t>PB10 (AN)</t>
  </si>
  <si>
    <t>PE15 (AN)</t>
  </si>
  <si>
    <t>PE14 (AN)</t>
  </si>
  <si>
    <t>PE13 (AN)</t>
  </si>
  <si>
    <t>PE12 (AN)</t>
  </si>
  <si>
    <t>PE11 (AN)</t>
  </si>
  <si>
    <t>PE10 (AN)</t>
  </si>
  <si>
    <t>PB14 (GTO)</t>
  </si>
  <si>
    <t>PD08 (GTO)</t>
  </si>
  <si>
    <t>PB15 (GTO)</t>
  </si>
  <si>
    <t>PE14 (AN) (GTO)</t>
  </si>
  <si>
    <t>PE13 (AN) (GTO)</t>
  </si>
  <si>
    <t>PE12 (AN) (GTO)</t>
  </si>
  <si>
    <t>PE11 (AN) (GTO)</t>
  </si>
  <si>
    <t>PE10 (AN) (GTO)</t>
  </si>
  <si>
    <t>PC14 (GTO)</t>
  </si>
  <si>
    <t>PC15 (GTO)</t>
  </si>
  <si>
    <t>PE09 (AN) (GTO)</t>
  </si>
  <si>
    <t>PE08 (AN) (GTO)</t>
  </si>
  <si>
    <t>PB12 (GTO)</t>
  </si>
  <si>
    <t>PD10 (GTO)</t>
  </si>
  <si>
    <t>PC09 (GTO)</t>
  </si>
  <si>
    <t>PC08 (GTO)</t>
  </si>
  <si>
    <t>PC07 (GTO)</t>
  </si>
  <si>
    <t>PD15 (GTO)</t>
  </si>
  <si>
    <t>PD14 (GTO)</t>
  </si>
  <si>
    <t>PD13 (GTO)</t>
  </si>
  <si>
    <t>PD12 (GTO)</t>
  </si>
  <si>
    <t>PD11 (GTO)</t>
  </si>
  <si>
    <t>PD09 (GTO)</t>
  </si>
  <si>
    <t>VCC (SYS)</t>
  </si>
  <si>
    <t>VSS (SYS)</t>
  </si>
  <si>
    <t>VCL (SYS)</t>
  </si>
  <si>
    <t>AVCC0 (SYS)</t>
  </si>
  <si>
    <t>AVSS0 (SYS)</t>
  </si>
  <si>
    <t>Unavailable</t>
  </si>
  <si>
    <t>PE03 (GTO) (IIC)</t>
  </si>
  <si>
    <t>PE05 (GTO) (IIC)</t>
  </si>
  <si>
    <t>I2C</t>
  </si>
  <si>
    <t>PB12 (GTO) (IIC)</t>
  </si>
  <si>
    <t>PE15 (AN) (GTO) (IIC)</t>
  </si>
  <si>
    <t>PB15 (GTO) (IIC)</t>
  </si>
  <si>
    <t>PD09 (GTO) (IIC)</t>
  </si>
  <si>
    <t>PD12 (GTO) (IIC)</t>
  </si>
  <si>
    <t>PD11 (GTO) (IIC)</t>
  </si>
  <si>
    <t>PD14 (GTO) (IIC)</t>
  </si>
  <si>
    <t>PC08 (GTO) (IIC)</t>
  </si>
  <si>
    <t>PC07 (GTO) (IIC)</t>
  </si>
  <si>
    <t>PC06 (GTO) (IIC)</t>
  </si>
  <si>
    <t>PA11 (GTO) (IIC)</t>
  </si>
  <si>
    <t>PA10 (GTO) (IIC)</t>
  </si>
  <si>
    <t>PA09 (GTO) (IIC)</t>
  </si>
  <si>
    <t>PA08 (GTO) (IIC)</t>
  </si>
  <si>
    <t>PC10 (IIC)</t>
  </si>
  <si>
    <t>Mux</t>
  </si>
  <si>
    <t>PC11 (IIC)</t>
  </si>
  <si>
    <t>PD00 (IIC)</t>
  </si>
  <si>
    <t>PD02 (IIC)</t>
  </si>
  <si>
    <t>PD06 (IIC)</t>
  </si>
  <si>
    <t>PE01 (GTO) (IIC)</t>
  </si>
  <si>
    <t>PA14/TCK/SWCLK (JTAG)</t>
  </si>
  <si>
    <t>JTAG</t>
  </si>
  <si>
    <t>PA13/TMS/SWDIO (JTAG)</t>
  </si>
  <si>
    <t>PA15/TDI (IIC) (JTAG)</t>
  </si>
  <si>
    <t>2 x I2C+ 5 GPIO</t>
  </si>
  <si>
    <t>PB13 (GTO)</t>
  </si>
  <si>
    <t xml:space="preserve">PC06 (GTO) </t>
  </si>
  <si>
    <t xml:space="preserve">PB04 </t>
  </si>
  <si>
    <t xml:space="preserve">P201/MD </t>
  </si>
  <si>
    <t>PC10 (IIC) PMBus</t>
  </si>
  <si>
    <t>PC11 (IIC) PMBus</t>
  </si>
  <si>
    <t>PC12 PMBus</t>
  </si>
  <si>
    <t>PD00 PMBus</t>
  </si>
  <si>
    <t>PD01 PMBus</t>
  </si>
  <si>
    <t>PD02 Pmbus</t>
  </si>
  <si>
    <t>PD03 PMBus</t>
  </si>
  <si>
    <t>PMBus</t>
  </si>
  <si>
    <t xml:space="preserve">PD06 </t>
  </si>
  <si>
    <t>PA15/TDI (JTAG)</t>
  </si>
  <si>
    <t>PB03/TDO (JTAG)</t>
  </si>
  <si>
    <t xml:space="preserve">PE04 </t>
  </si>
  <si>
    <t>PD04 (JTAG)</t>
  </si>
  <si>
    <t>PD05 (JTAG)</t>
  </si>
  <si>
    <t>Total Pin</t>
  </si>
  <si>
    <t>PA11</t>
  </si>
  <si>
    <t>PA10</t>
  </si>
  <si>
    <t>PA09</t>
  </si>
  <si>
    <t>PA08</t>
  </si>
  <si>
    <t>P201/MD</t>
  </si>
  <si>
    <t>PB03/TDO (GTO) (JTAG)</t>
  </si>
  <si>
    <t>PB04 (GTO) (IIC)</t>
  </si>
  <si>
    <t>PB05 (GTO)</t>
  </si>
  <si>
    <t>PB06 (GTO) (IIC)</t>
  </si>
  <si>
    <t>PB07 (GTO) (IIC)</t>
  </si>
  <si>
    <t>P201/MD (GTO)</t>
  </si>
  <si>
    <t>PB08 (GTO) (IIC)</t>
  </si>
  <si>
    <t>PB09 (GTO)</t>
  </si>
  <si>
    <t>PE00 (GTO) )(IIC)</t>
  </si>
  <si>
    <t>PC10 (PMBus)</t>
  </si>
  <si>
    <t>PC11 (PMBus)</t>
  </si>
  <si>
    <t>PC12 (PMBus)</t>
  </si>
  <si>
    <t>PD02 (PMBus)</t>
  </si>
  <si>
    <t>PB04 (PMBus)</t>
  </si>
  <si>
    <t>PB05 (PMBus)</t>
  </si>
  <si>
    <t>PB06 (PMBus)</t>
  </si>
  <si>
    <t>RES (SYS)</t>
  </si>
  <si>
    <t>VREFL0 (SYS)</t>
  </si>
  <si>
    <t>VREFH0 (SYS)</t>
  </si>
  <si>
    <t>JTAG/EN</t>
  </si>
  <si>
    <t>PB03/TDO  (JTAG)</t>
  </si>
  <si>
    <t>PC06 (GTO)</t>
  </si>
  <si>
    <t>PC09</t>
  </si>
  <si>
    <t>PC07</t>
  </si>
  <si>
    <t>PC06</t>
  </si>
  <si>
    <t>PB15</t>
  </si>
  <si>
    <t>PB14</t>
  </si>
  <si>
    <t>PB13</t>
  </si>
  <si>
    <t>PB12</t>
  </si>
  <si>
    <t>PC08</t>
  </si>
  <si>
    <t>P002</t>
  </si>
  <si>
    <t>PB02</t>
  </si>
  <si>
    <t>PB08 (JTAG)</t>
  </si>
  <si>
    <t>PB09 (JTAG)</t>
  </si>
  <si>
    <t>PB10</t>
  </si>
  <si>
    <t>GPI (EN)</t>
  </si>
  <si>
    <t>GPI(EN)</t>
  </si>
  <si>
    <t>R7FA6T2BD3CFP</t>
  </si>
  <si>
    <t>R7FA6T2BD3CFM</t>
  </si>
  <si>
    <t>GPI (Cascade/Drail)</t>
  </si>
  <si>
    <t>GPI (Cascade/Drail))</t>
  </si>
  <si>
    <t>PD15</t>
  </si>
  <si>
    <t>PD14</t>
  </si>
  <si>
    <t>PD13</t>
  </si>
  <si>
    <t>PD12</t>
  </si>
  <si>
    <t>PD11</t>
  </si>
  <si>
    <t>PE15</t>
  </si>
  <si>
    <t>PE14</t>
  </si>
  <si>
    <t>PE13</t>
  </si>
  <si>
    <t>PE12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</si>
</sst>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 vertical="top"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 vertical="top" textRotation="90"/>
    </xf>
    <xf numFmtId="0" fontId="1" fillId="3" borderId="0" xfId="0" applyFont="1" applyFill="1" applyAlignment="1">
      <alignment horizontal="center" vertical="top" textRotation="90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textRotation="90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center" vertical="top" textRotation="90"/>
    </xf>
    <xf numFmtId="0" fontId="1" fillId="2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textRotation="90"/>
    </xf>
    <xf numFmtId="0" fontId="1" fillId="2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1" fillId="6" borderId="0" xfId="0" applyFont="1" applyFill="1" applyAlignment="1">
      <alignment horizontal="center" textRotation="90"/>
    </xf>
    <xf numFmtId="0" fontId="1" fillId="6" borderId="0" xfId="0" applyFont="1" applyFill="1" applyAlignment="1">
      <alignment horizontal="center" vertical="top" textRotation="90"/>
    </xf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right" vertical="center"/>
    </xf>
    <xf numFmtId="0" fontId="1" fillId="8" borderId="0" xfId="0" applyFont="1" applyFill="1" applyAlignment="1">
      <alignment horizontal="right"/>
    </xf>
    <xf numFmtId="0" fontId="1" fillId="8" borderId="0" xfId="0" applyFont="1" applyFill="1" applyAlignment="1">
      <alignment horizontal="center" textRotation="90"/>
    </xf>
    <xf numFmtId="0" fontId="1" fillId="8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center" vertical="top" textRotation="90"/>
    </xf>
    <xf numFmtId="0" fontId="1" fillId="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9" borderId="0" xfId="0" applyFont="1" applyFill="1"/>
    <xf numFmtId="0" fontId="1" fillId="4" borderId="0" xfId="0" applyFont="1" applyFill="1"/>
    <xf numFmtId="0" fontId="1" fillId="9" borderId="0" xfId="0" applyFont="1" applyFill="1" applyAlignment="1">
      <alignment horizontal="center" textRotation="90"/>
    </xf>
    <xf numFmtId="0" fontId="1" fillId="6" borderId="0" xfId="0" applyFont="1" applyFill="1"/>
    <xf numFmtId="0" fontId="1" fillId="8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kuya Katayama" id="{176782D2-0EE5-4028-AD22-0AD9E0640225}" userId="S::takuya.katayama.px@renesas.com::2f5de435-d846-4f4a-a4e1-bd7f189326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6" dT="2026-09-25T20:05:44.65" personId="{176782D2-0EE5-4028-AD22-0AD9E0640225}" id="{0275F5E8-D7A6-491B-8326-7BD2B87B7083}">
    <text>ADC &gt; EN does not make sense. Need to lower ADC or PWM. It also does not allow cascading with this configuration</text>
  </threadedComment>
  <threadedComment ref="B39" dT="2026-09-25T20:03:26.96" personId="{176782D2-0EE5-4028-AD22-0AD9E0640225}" id="{DCC5A65D-C21B-43E7-987F-58A4A3785DA6}">
    <text>JTAG is only for development and will be used as GPIO for product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6" dT="2026-09-25T20:05:44.65" personId="{176782D2-0EE5-4028-AD22-0AD9E0640225}" id="{188BBF7B-C398-4F52-95E0-9E2257A5937F}">
    <text>ADC &gt; EN does not make sense. Need to lower ADC or PWM. It also does not allow cascading with this configuration</text>
  </threadedComment>
  <threadedComment ref="B39" dT="2026-09-25T20:03:26.96" personId="{176782D2-0EE5-4028-AD22-0AD9E0640225}" id="{0DC4D486-7224-453E-9618-DABD97B91783}">
    <text>JTAG is only for development and will be used as GPIO for product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6" dT="2026-09-25T20:02:10.27" personId="{176782D2-0EE5-4028-AD22-0AD9E0640225}" id="{4561E63F-A426-4162-A005-16A4DF8FAEE2}">
    <text>Meta does not need PWM. Assigning 18 to EN, which leaves 8 for cascading.</text>
  </threadedComment>
  <threadedComment ref="B29" dT="2026-09-25T20:03:54.85" personId="{176782D2-0EE5-4028-AD22-0AD9E0640225}" id="{E57CAC2A-D50F-42D7-BA75-7637D70E5119}">
    <text>JTAG is only for development and will be used as GPIO for product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6" dT="2026-09-25T20:02:10.27" personId="{176782D2-0EE5-4028-AD22-0AD9E0640225}" id="{FA527F5D-A090-424C-81A1-1958FC29BE80}">
    <text>16 EN + 6  cascading</text>
  </threadedComment>
  <threadedComment ref="B29" dT="2026-09-25T20:03:54.85" personId="{176782D2-0EE5-4028-AD22-0AD9E0640225}" id="{134F5E88-48CD-4149-ACA1-8823C24B102C}">
    <text>JTAG is only for development and will be used as GPIO for product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4006-AE2A-4548-A7C6-C22B6FC291B6}">
  <dimension ref="A1:AC37"/>
  <sheetViews>
    <sheetView workbookViewId="0">
      <selection activeCell="B36" sqref="B36"/>
    </sheetView>
  </sheetViews>
  <sheetFormatPr defaultRowHeight="12" x14ac:dyDescent="0.2"/>
  <cols>
    <col min="1" max="1" width="18.28515625" style="6" bestFit="1" customWidth="1"/>
    <col min="2" max="28" width="3.28515625" style="1" customWidth="1"/>
    <col min="29" max="29" width="15.5703125" style="1" bestFit="1" customWidth="1"/>
    <col min="30" max="16384" width="9.140625" style="1"/>
  </cols>
  <sheetData>
    <row r="1" spans="1:29" ht="96.75" x14ac:dyDescent="0.2">
      <c r="A1" s="5"/>
      <c r="B1" s="4"/>
      <c r="C1" s="10" t="s">
        <v>80</v>
      </c>
      <c r="D1" s="10" t="s">
        <v>81</v>
      </c>
      <c r="E1" s="10" t="s">
        <v>82</v>
      </c>
      <c r="F1" s="27" t="s">
        <v>112</v>
      </c>
      <c r="G1" s="2" t="s">
        <v>0</v>
      </c>
      <c r="H1" s="21" t="s">
        <v>99</v>
      </c>
      <c r="I1" s="21" t="s">
        <v>100</v>
      </c>
      <c r="J1" s="21" t="s">
        <v>101</v>
      </c>
      <c r="K1" s="21" t="s">
        <v>102</v>
      </c>
      <c r="L1" s="16" t="s">
        <v>71</v>
      </c>
      <c r="M1" s="21" t="s">
        <v>96</v>
      </c>
      <c r="N1" s="21" t="s">
        <v>97</v>
      </c>
      <c r="O1" s="21" t="s">
        <v>98</v>
      </c>
      <c r="P1" s="16" t="s">
        <v>74</v>
      </c>
      <c r="Q1" s="21" t="s">
        <v>95</v>
      </c>
      <c r="R1" s="16" t="s">
        <v>76</v>
      </c>
      <c r="S1" s="21" t="s">
        <v>93</v>
      </c>
      <c r="T1" s="21" t="s">
        <v>94</v>
      </c>
      <c r="U1" s="16" t="s">
        <v>70</v>
      </c>
      <c r="V1" s="21" t="s">
        <v>92</v>
      </c>
      <c r="W1" s="16" t="s">
        <v>58</v>
      </c>
      <c r="X1" s="21" t="s">
        <v>91</v>
      </c>
      <c r="Y1" s="16" t="s">
        <v>57</v>
      </c>
      <c r="Z1" s="16" t="s">
        <v>115</v>
      </c>
      <c r="AA1" s="21" t="s">
        <v>89</v>
      </c>
      <c r="AB1" s="4"/>
      <c r="AC1" s="4"/>
    </row>
    <row r="2" spans="1:29" ht="17.25" customHeight="1" x14ac:dyDescent="0.2">
      <c r="A2" s="5"/>
      <c r="B2" s="4"/>
      <c r="C2" s="4">
        <v>75</v>
      </c>
      <c r="D2" s="4">
        <v>74</v>
      </c>
      <c r="E2" s="4">
        <v>73</v>
      </c>
      <c r="F2" s="4">
        <v>72</v>
      </c>
      <c r="G2" s="4">
        <v>71</v>
      </c>
      <c r="H2" s="4">
        <v>70</v>
      </c>
      <c r="I2" s="4">
        <v>69</v>
      </c>
      <c r="J2" s="4">
        <v>68</v>
      </c>
      <c r="K2" s="4">
        <v>67</v>
      </c>
      <c r="L2" s="4">
        <v>66</v>
      </c>
      <c r="M2" s="4">
        <v>65</v>
      </c>
      <c r="N2" s="4">
        <v>64</v>
      </c>
      <c r="O2" s="4">
        <v>63</v>
      </c>
      <c r="P2" s="4">
        <v>62</v>
      </c>
      <c r="Q2" s="4">
        <v>61</v>
      </c>
      <c r="R2" s="4">
        <v>60</v>
      </c>
      <c r="S2" s="4">
        <v>59</v>
      </c>
      <c r="T2" s="4">
        <v>58</v>
      </c>
      <c r="U2" s="4">
        <v>57</v>
      </c>
      <c r="V2" s="4">
        <v>56</v>
      </c>
      <c r="W2" s="4">
        <v>55</v>
      </c>
      <c r="X2" s="4">
        <v>54</v>
      </c>
      <c r="Y2" s="4">
        <v>53</v>
      </c>
      <c r="Z2" s="4">
        <v>52</v>
      </c>
      <c r="AA2" s="4">
        <v>51</v>
      </c>
      <c r="AB2" s="4"/>
      <c r="AC2" s="4"/>
    </row>
    <row r="3" spans="1:29" ht="17.25" customHeight="1" x14ac:dyDescent="0.2">
      <c r="A3" s="28" t="s">
        <v>110</v>
      </c>
      <c r="B3" s="4">
        <v>76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>
        <v>50</v>
      </c>
      <c r="AC3" s="9" t="s">
        <v>80</v>
      </c>
    </row>
    <row r="4" spans="1:29" ht="17.25" customHeight="1" x14ac:dyDescent="0.2">
      <c r="A4" s="28" t="s">
        <v>113</v>
      </c>
      <c r="B4" s="4">
        <v>77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>
        <v>49</v>
      </c>
      <c r="AC4" s="9" t="s">
        <v>81</v>
      </c>
    </row>
    <row r="5" spans="1:29" ht="17.25" customHeight="1" x14ac:dyDescent="0.2">
      <c r="A5" s="24" t="s">
        <v>103</v>
      </c>
      <c r="B5" s="4">
        <v>78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>
        <v>48</v>
      </c>
      <c r="AC5" s="9" t="s">
        <v>82</v>
      </c>
    </row>
    <row r="6" spans="1:29" ht="17.25" customHeight="1" x14ac:dyDescent="0.2">
      <c r="A6" s="24" t="s">
        <v>105</v>
      </c>
      <c r="B6" s="4">
        <v>79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>
        <v>47</v>
      </c>
      <c r="AC6" s="15" t="s">
        <v>50</v>
      </c>
    </row>
    <row r="7" spans="1:29" ht="17.25" customHeight="1" x14ac:dyDescent="0.2">
      <c r="A7" s="5" t="s">
        <v>10</v>
      </c>
      <c r="B7" s="4">
        <v>80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>
        <v>46</v>
      </c>
      <c r="AC7" s="18" t="s">
        <v>90</v>
      </c>
    </row>
    <row r="8" spans="1:29" ht="17.25" customHeight="1" x14ac:dyDescent="0.2">
      <c r="A8" s="24" t="s">
        <v>106</v>
      </c>
      <c r="B8" s="4">
        <v>81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>
        <v>45</v>
      </c>
      <c r="AC8" s="18" t="s">
        <v>60</v>
      </c>
    </row>
    <row r="9" spans="1:29" ht="17.25" customHeight="1" x14ac:dyDescent="0.2">
      <c r="A9" s="5" t="s">
        <v>11</v>
      </c>
      <c r="B9" s="4">
        <v>82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>
        <v>44</v>
      </c>
      <c r="AC9" s="18" t="s">
        <v>61</v>
      </c>
    </row>
    <row r="10" spans="1:29" ht="17.25" customHeight="1" x14ac:dyDescent="0.2">
      <c r="A10" s="24" t="s">
        <v>107</v>
      </c>
      <c r="B10" s="4">
        <v>83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>
        <v>43</v>
      </c>
      <c r="AC10" s="18" t="s">
        <v>62</v>
      </c>
    </row>
    <row r="11" spans="1:29" ht="17.25" customHeight="1" x14ac:dyDescent="0.2">
      <c r="A11" s="5" t="s">
        <v>12</v>
      </c>
      <c r="B11" s="4">
        <v>84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>
        <v>42</v>
      </c>
      <c r="AC11" s="18" t="s">
        <v>63</v>
      </c>
    </row>
    <row r="12" spans="1:29" ht="17.25" customHeight="1" x14ac:dyDescent="0.2">
      <c r="A12" s="5" t="s">
        <v>13</v>
      </c>
      <c r="B12" s="4">
        <v>85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>
        <v>41</v>
      </c>
      <c r="AC12" s="18" t="s">
        <v>64</v>
      </c>
    </row>
    <row r="13" spans="1:29" ht="17.25" customHeight="1" x14ac:dyDescent="0.2">
      <c r="A13" s="5" t="s">
        <v>14</v>
      </c>
      <c r="B13" s="4">
        <v>86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>
        <v>40</v>
      </c>
      <c r="AC13" s="18" t="s">
        <v>67</v>
      </c>
    </row>
    <row r="14" spans="1:29" ht="17.25" customHeight="1" x14ac:dyDescent="0.2">
      <c r="A14" s="24" t="s">
        <v>108</v>
      </c>
      <c r="B14" s="4">
        <v>87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>
        <v>39</v>
      </c>
      <c r="AC14" s="18" t="s">
        <v>68</v>
      </c>
    </row>
    <row r="15" spans="1:29" ht="17.25" customHeight="1" x14ac:dyDescent="0.2">
      <c r="A15" s="5" t="s">
        <v>15</v>
      </c>
      <c r="B15" s="4">
        <v>88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>
        <v>38</v>
      </c>
      <c r="AC15" s="32" t="s">
        <v>41</v>
      </c>
    </row>
    <row r="16" spans="1:29" ht="17.25" customHeight="1" x14ac:dyDescent="0.2">
      <c r="A16" s="28" t="s">
        <v>139</v>
      </c>
      <c r="B16" s="4">
        <v>89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>
        <v>37</v>
      </c>
      <c r="AC16" s="32" t="s">
        <v>42</v>
      </c>
    </row>
    <row r="17" spans="1:29" ht="17.25" customHeight="1" x14ac:dyDescent="0.2">
      <c r="A17" s="25" t="s">
        <v>140</v>
      </c>
      <c r="B17" s="4">
        <v>90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>
        <v>36</v>
      </c>
      <c r="AC17" s="32" t="s">
        <v>43</v>
      </c>
    </row>
    <row r="18" spans="1:29" ht="17.25" customHeight="1" x14ac:dyDescent="0.2">
      <c r="A18" s="17" t="s">
        <v>141</v>
      </c>
      <c r="B18" s="4">
        <v>91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>
        <v>35</v>
      </c>
      <c r="AC18" s="32" t="s">
        <v>44</v>
      </c>
    </row>
    <row r="19" spans="1:29" ht="17.25" customHeight="1" x14ac:dyDescent="0.2">
      <c r="A19" s="25" t="s">
        <v>142</v>
      </c>
      <c r="B19" s="4">
        <v>92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>
        <v>34</v>
      </c>
      <c r="AC19" s="32" t="s">
        <v>45</v>
      </c>
    </row>
    <row r="20" spans="1:29" ht="17.25" customHeight="1" x14ac:dyDescent="0.2">
      <c r="A20" s="25" t="s">
        <v>143</v>
      </c>
      <c r="B20" s="4">
        <v>93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>
        <v>33</v>
      </c>
      <c r="AC20" s="32" t="s">
        <v>46</v>
      </c>
    </row>
    <row r="21" spans="1:29" ht="17.25" customHeight="1" x14ac:dyDescent="0.2">
      <c r="A21" s="17" t="s">
        <v>144</v>
      </c>
      <c r="B21" s="4">
        <v>94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>
        <v>32</v>
      </c>
      <c r="AC21" s="32" t="s">
        <v>47</v>
      </c>
    </row>
    <row r="22" spans="1:29" ht="17.25" customHeight="1" x14ac:dyDescent="0.2">
      <c r="A22" s="25" t="s">
        <v>145</v>
      </c>
      <c r="B22" s="4">
        <v>95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>
        <v>31</v>
      </c>
      <c r="AC22" s="32" t="s">
        <v>48</v>
      </c>
    </row>
    <row r="23" spans="1:29" ht="17.25" customHeight="1" x14ac:dyDescent="0.2">
      <c r="A23" s="17" t="s">
        <v>146</v>
      </c>
      <c r="B23" s="4">
        <v>96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>
        <v>30</v>
      </c>
      <c r="AC23" s="32" t="s">
        <v>49</v>
      </c>
    </row>
    <row r="24" spans="1:29" ht="17.25" customHeight="1" x14ac:dyDescent="0.2">
      <c r="A24" s="25" t="s">
        <v>147</v>
      </c>
      <c r="B24" s="4">
        <v>97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>
        <v>29</v>
      </c>
      <c r="AC24" s="32" t="s">
        <v>38</v>
      </c>
    </row>
    <row r="25" spans="1:29" ht="17.25" customHeight="1" x14ac:dyDescent="0.2">
      <c r="A25" s="25" t="s">
        <v>109</v>
      </c>
      <c r="B25" s="4">
        <v>98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v>28</v>
      </c>
      <c r="AC25" s="9" t="s">
        <v>83</v>
      </c>
    </row>
    <row r="26" spans="1:29" ht="17.25" customHeight="1" x14ac:dyDescent="0.2">
      <c r="A26" s="11" t="s">
        <v>81</v>
      </c>
      <c r="B26" s="4">
        <v>99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>
        <v>27</v>
      </c>
      <c r="AC26" s="9" t="s">
        <v>84</v>
      </c>
    </row>
    <row r="27" spans="1:29" ht="17.25" customHeight="1" x14ac:dyDescent="0.2">
      <c r="A27" s="11" t="s">
        <v>80</v>
      </c>
      <c r="B27" s="4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>
        <v>26</v>
      </c>
      <c r="AC27" s="32" t="s">
        <v>37</v>
      </c>
    </row>
    <row r="28" spans="1:29" ht="17.25" customHeight="1" x14ac:dyDescent="0.2">
      <c r="A28" s="5"/>
      <c r="B28" s="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/>
      <c r="AC28" s="4"/>
    </row>
    <row r="29" spans="1:29" ht="75" customHeight="1" x14ac:dyDescent="0.2">
      <c r="A29" s="5"/>
      <c r="B29" s="4"/>
      <c r="C29" s="7" t="s">
        <v>23</v>
      </c>
      <c r="D29" s="22" t="s">
        <v>86</v>
      </c>
      <c r="E29" s="7" t="s">
        <v>24</v>
      </c>
      <c r="F29" s="22" t="s">
        <v>87</v>
      </c>
      <c r="G29" s="7" t="s">
        <v>25</v>
      </c>
      <c r="H29" s="8" t="s">
        <v>80</v>
      </c>
      <c r="I29" s="3" t="s">
        <v>5</v>
      </c>
      <c r="J29" s="7" t="s">
        <v>65</v>
      </c>
      <c r="K29" s="7" t="s">
        <v>66</v>
      </c>
      <c r="L29" s="8" t="s">
        <v>81</v>
      </c>
      <c r="M29" s="8" t="s">
        <v>80</v>
      </c>
      <c r="N29" s="3" t="s">
        <v>8</v>
      </c>
      <c r="O29" s="3" t="s">
        <v>9</v>
      </c>
      <c r="P29" s="8" t="s">
        <v>155</v>
      </c>
      <c r="Q29" s="12" t="s">
        <v>28</v>
      </c>
      <c r="R29" s="12" t="s">
        <v>29</v>
      </c>
      <c r="S29" s="12" t="s">
        <v>30</v>
      </c>
      <c r="T29" s="12" t="s">
        <v>31</v>
      </c>
      <c r="U29" s="12" t="s">
        <v>32</v>
      </c>
      <c r="V29" s="8" t="s">
        <v>156</v>
      </c>
      <c r="W29" s="8" t="s">
        <v>157</v>
      </c>
      <c r="X29" s="12" t="s">
        <v>33</v>
      </c>
      <c r="Y29" s="12" t="s">
        <v>34</v>
      </c>
      <c r="Z29" s="12" t="s">
        <v>35</v>
      </c>
      <c r="AA29" s="12" t="s">
        <v>36</v>
      </c>
      <c r="AB29" s="4"/>
      <c r="AC29" s="4"/>
    </row>
    <row r="32" spans="1:29" x14ac:dyDescent="0.2">
      <c r="A32" s="13" t="s">
        <v>26</v>
      </c>
      <c r="B32" s="1">
        <f>COUNTIF(A1:AC29, "*(GTO)*")</f>
        <v>45</v>
      </c>
    </row>
    <row r="33" spans="1:3" x14ac:dyDescent="0.2">
      <c r="A33" s="14" t="s">
        <v>27</v>
      </c>
      <c r="B33" s="1">
        <f>COUNTIF(A1:AC29, "* (AN)*")</f>
        <v>29</v>
      </c>
    </row>
    <row r="34" spans="1:3" x14ac:dyDescent="0.2">
      <c r="A34" s="23" t="s">
        <v>88</v>
      </c>
      <c r="B34" s="1">
        <f>COUNTIF(A1:AC29,"*IIC*")</f>
        <v>28</v>
      </c>
      <c r="C34" s="1" t="s">
        <v>114</v>
      </c>
    </row>
    <row r="35" spans="1:3" x14ac:dyDescent="0.2">
      <c r="A35" s="19" t="s">
        <v>104</v>
      </c>
    </row>
    <row r="36" spans="1:3" x14ac:dyDescent="0.2">
      <c r="A36" s="20" t="s">
        <v>85</v>
      </c>
      <c r="B36" s="1">
        <f>COUNTIF(A1:AC29,"*(SYS)*")</f>
        <v>16</v>
      </c>
    </row>
    <row r="37" spans="1:3" x14ac:dyDescent="0.2">
      <c r="A37" s="26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0A92-7704-4BBA-9C9B-B639D006C132}">
  <dimension ref="A1:T28"/>
  <sheetViews>
    <sheetView workbookViewId="0">
      <selection activeCell="A17" sqref="A17:A18"/>
    </sheetView>
  </sheetViews>
  <sheetFormatPr defaultRowHeight="15" x14ac:dyDescent="0.25"/>
  <cols>
    <col min="1" max="1" width="18.28515625" bestFit="1" customWidth="1"/>
    <col min="2" max="19" width="2.85546875" customWidth="1"/>
  </cols>
  <sheetData>
    <row r="1" spans="1:20" ht="96.75" x14ac:dyDescent="0.25">
      <c r="A1" s="33"/>
      <c r="B1" s="33"/>
      <c r="C1" s="10" t="s">
        <v>80</v>
      </c>
      <c r="D1" s="10" t="s">
        <v>81</v>
      </c>
      <c r="E1" s="27" t="s">
        <v>112</v>
      </c>
      <c r="F1" s="2" t="s">
        <v>0</v>
      </c>
      <c r="G1" s="21" t="s">
        <v>99</v>
      </c>
      <c r="H1" s="21" t="s">
        <v>100</v>
      </c>
      <c r="I1" s="21" t="s">
        <v>101</v>
      </c>
      <c r="J1" s="21" t="s">
        <v>102</v>
      </c>
      <c r="K1" s="16" t="s">
        <v>71</v>
      </c>
      <c r="L1" s="21" t="s">
        <v>96</v>
      </c>
      <c r="M1" s="21" t="s">
        <v>97</v>
      </c>
      <c r="N1" s="21" t="s">
        <v>98</v>
      </c>
      <c r="O1" s="21" t="s">
        <v>91</v>
      </c>
      <c r="P1" s="16" t="s">
        <v>57</v>
      </c>
      <c r="Q1" s="16" t="s">
        <v>115</v>
      </c>
      <c r="R1" s="21" t="s">
        <v>89</v>
      </c>
      <c r="S1" s="33"/>
      <c r="T1" s="33"/>
    </row>
    <row r="2" spans="1:20" x14ac:dyDescent="0.25">
      <c r="A2" s="33"/>
      <c r="B2" s="33"/>
      <c r="C2" s="33">
        <v>48</v>
      </c>
      <c r="D2" s="33">
        <v>47</v>
      </c>
      <c r="E2" s="33">
        <v>46</v>
      </c>
      <c r="F2" s="33">
        <v>45</v>
      </c>
      <c r="G2" s="33">
        <v>44</v>
      </c>
      <c r="H2" s="33">
        <v>43</v>
      </c>
      <c r="I2" s="33">
        <v>42</v>
      </c>
      <c r="J2" s="33">
        <v>41</v>
      </c>
      <c r="K2" s="33">
        <v>40</v>
      </c>
      <c r="L2" s="33">
        <v>39</v>
      </c>
      <c r="M2" s="33">
        <v>38</v>
      </c>
      <c r="N2" s="33">
        <v>37</v>
      </c>
      <c r="O2" s="33">
        <v>36</v>
      </c>
      <c r="P2" s="33">
        <v>35</v>
      </c>
      <c r="Q2" s="33">
        <v>34</v>
      </c>
      <c r="R2" s="33">
        <v>33</v>
      </c>
      <c r="S2" s="33"/>
      <c r="T2" s="33"/>
    </row>
    <row r="3" spans="1:20" x14ac:dyDescent="0.25">
      <c r="A3" s="28" t="s">
        <v>110</v>
      </c>
      <c r="B3" s="33">
        <v>49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>
        <v>32</v>
      </c>
      <c r="T3" s="9" t="s">
        <v>80</v>
      </c>
    </row>
    <row r="4" spans="1:20" x14ac:dyDescent="0.25">
      <c r="A4" s="28" t="s">
        <v>113</v>
      </c>
      <c r="B4" s="33">
        <v>50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>
        <v>31</v>
      </c>
      <c r="T4" s="9" t="s">
        <v>81</v>
      </c>
    </row>
    <row r="5" spans="1:20" x14ac:dyDescent="0.25">
      <c r="A5" s="24" t="s">
        <v>103</v>
      </c>
      <c r="B5" s="33">
        <v>51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>
        <v>30</v>
      </c>
      <c r="T5" s="9" t="s">
        <v>82</v>
      </c>
    </row>
    <row r="6" spans="1:20" x14ac:dyDescent="0.25">
      <c r="A6" s="24" t="s">
        <v>105</v>
      </c>
      <c r="B6" s="33">
        <v>52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>
        <v>29</v>
      </c>
      <c r="T6" s="32" t="s">
        <v>41</v>
      </c>
    </row>
    <row r="7" spans="1:20" x14ac:dyDescent="0.25">
      <c r="A7" s="5" t="s">
        <v>10</v>
      </c>
      <c r="B7" s="33">
        <v>53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>
        <v>28</v>
      </c>
      <c r="T7" s="32" t="s">
        <v>42</v>
      </c>
    </row>
    <row r="8" spans="1:20" x14ac:dyDescent="0.25">
      <c r="A8" s="24" t="s">
        <v>107</v>
      </c>
      <c r="B8" s="33">
        <v>54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>
        <v>27</v>
      </c>
      <c r="T8" s="32" t="s">
        <v>43</v>
      </c>
    </row>
    <row r="9" spans="1:20" x14ac:dyDescent="0.25">
      <c r="A9" s="28" t="s">
        <v>139</v>
      </c>
      <c r="B9" s="33">
        <v>55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>
        <v>26</v>
      </c>
      <c r="T9" s="32" t="s">
        <v>44</v>
      </c>
    </row>
    <row r="10" spans="1:20" x14ac:dyDescent="0.25">
      <c r="A10" s="25" t="s">
        <v>140</v>
      </c>
      <c r="B10" s="33">
        <v>56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>
        <v>25</v>
      </c>
      <c r="T10" s="32" t="s">
        <v>45</v>
      </c>
    </row>
    <row r="11" spans="1:20" x14ac:dyDescent="0.25">
      <c r="A11" s="17" t="s">
        <v>141</v>
      </c>
      <c r="B11" s="33">
        <v>57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>
        <v>24</v>
      </c>
      <c r="T11" s="32" t="s">
        <v>46</v>
      </c>
    </row>
    <row r="12" spans="1:20" x14ac:dyDescent="0.25">
      <c r="A12" s="25" t="s">
        <v>142</v>
      </c>
      <c r="B12" s="33">
        <v>58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>
        <v>23</v>
      </c>
      <c r="T12" s="32" t="s">
        <v>47</v>
      </c>
    </row>
    <row r="13" spans="1:20" x14ac:dyDescent="0.25">
      <c r="A13" s="25" t="s">
        <v>143</v>
      </c>
      <c r="B13" s="33">
        <v>59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>
        <v>22</v>
      </c>
      <c r="T13" s="32" t="s">
        <v>48</v>
      </c>
    </row>
    <row r="14" spans="1:20" x14ac:dyDescent="0.25">
      <c r="A14" s="17" t="s">
        <v>144</v>
      </c>
      <c r="B14" s="33">
        <v>60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>
        <v>21</v>
      </c>
      <c r="T14" s="32" t="s">
        <v>49</v>
      </c>
    </row>
    <row r="15" spans="1:20" x14ac:dyDescent="0.25">
      <c r="A15" s="25" t="s">
        <v>145</v>
      </c>
      <c r="B15" s="33">
        <v>61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>
        <v>20</v>
      </c>
      <c r="T15" s="32" t="s">
        <v>38</v>
      </c>
    </row>
    <row r="16" spans="1:20" x14ac:dyDescent="0.25">
      <c r="A16" s="17" t="s">
        <v>146</v>
      </c>
      <c r="B16" s="33">
        <v>62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>
        <v>19</v>
      </c>
      <c r="T16" s="9" t="s">
        <v>83</v>
      </c>
    </row>
    <row r="17" spans="1:20" x14ac:dyDescent="0.25">
      <c r="A17" s="11" t="s">
        <v>81</v>
      </c>
      <c r="B17" s="33">
        <v>63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>
        <v>18</v>
      </c>
      <c r="T17" s="9" t="s">
        <v>84</v>
      </c>
    </row>
    <row r="18" spans="1:20" x14ac:dyDescent="0.25">
      <c r="A18" s="11" t="s">
        <v>80</v>
      </c>
      <c r="B18" s="33">
        <v>64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>
        <v>17</v>
      </c>
      <c r="T18" s="32" t="s">
        <v>37</v>
      </c>
    </row>
    <row r="19" spans="1:20" x14ac:dyDescent="0.25">
      <c r="A19" s="33"/>
      <c r="B19" s="33"/>
      <c r="C19" s="33">
        <v>1</v>
      </c>
      <c r="D19" s="33">
        <v>2</v>
      </c>
      <c r="E19" s="33">
        <v>3</v>
      </c>
      <c r="F19" s="33">
        <v>4</v>
      </c>
      <c r="G19" s="33">
        <v>5</v>
      </c>
      <c r="H19" s="33">
        <v>6</v>
      </c>
      <c r="I19" s="33">
        <v>7</v>
      </c>
      <c r="J19" s="33">
        <v>8</v>
      </c>
      <c r="K19" s="33">
        <v>9</v>
      </c>
      <c r="L19" s="33">
        <v>10</v>
      </c>
      <c r="M19" s="33">
        <v>11</v>
      </c>
      <c r="N19" s="33">
        <v>12</v>
      </c>
      <c r="O19" s="33">
        <v>13</v>
      </c>
      <c r="P19" s="33">
        <v>14</v>
      </c>
      <c r="Q19" s="33">
        <v>15</v>
      </c>
      <c r="R19" s="33">
        <v>16</v>
      </c>
      <c r="S19" s="33"/>
      <c r="T19" s="33"/>
    </row>
    <row r="20" spans="1:20" ht="55.5" x14ac:dyDescent="0.25">
      <c r="A20" s="33"/>
      <c r="B20" s="33"/>
      <c r="C20" s="8" t="s">
        <v>80</v>
      </c>
      <c r="D20" s="3" t="s">
        <v>5</v>
      </c>
      <c r="E20" s="7" t="s">
        <v>65</v>
      </c>
      <c r="F20" s="7" t="s">
        <v>66</v>
      </c>
      <c r="G20" s="3" t="s">
        <v>8</v>
      </c>
      <c r="H20" s="3" t="s">
        <v>9</v>
      </c>
      <c r="I20" s="8" t="s">
        <v>155</v>
      </c>
      <c r="J20" s="12" t="s">
        <v>28</v>
      </c>
      <c r="K20" s="12" t="s">
        <v>29</v>
      </c>
      <c r="L20" s="12" t="s">
        <v>30</v>
      </c>
      <c r="M20" s="12" t="s">
        <v>31</v>
      </c>
      <c r="N20" s="8" t="s">
        <v>156</v>
      </c>
      <c r="O20" s="8" t="s">
        <v>157</v>
      </c>
      <c r="P20" s="12" t="s">
        <v>34</v>
      </c>
      <c r="Q20" s="12" t="s">
        <v>35</v>
      </c>
      <c r="R20" s="12" t="s">
        <v>36</v>
      </c>
      <c r="S20" s="33"/>
      <c r="T20" s="33"/>
    </row>
    <row r="21" spans="1:20" x14ac:dyDescent="0.25">
      <c r="A21" s="1" t="s">
        <v>133</v>
      </c>
      <c r="B21" s="1">
        <v>64</v>
      </c>
      <c r="C21" s="1"/>
    </row>
    <row r="22" spans="1:20" x14ac:dyDescent="0.25">
      <c r="A22" s="34" t="s">
        <v>27</v>
      </c>
      <c r="B22" s="1">
        <f>COUNTIF(A1:T20, "*(AN)*")</f>
        <v>18</v>
      </c>
      <c r="C22" s="1"/>
    </row>
    <row r="23" spans="1:20" x14ac:dyDescent="0.25">
      <c r="A23" s="1" t="s">
        <v>26</v>
      </c>
      <c r="B23" s="1">
        <f>COUNTIF(A1:T20, "*(GTO)*")</f>
        <v>22</v>
      </c>
      <c r="C23" s="1"/>
    </row>
    <row r="24" spans="1:20" x14ac:dyDescent="0.25">
      <c r="A24" s="1" t="s">
        <v>85</v>
      </c>
      <c r="B24" s="1">
        <f>COUNTIF(A1:T20, "*(SYS)*")</f>
        <v>13</v>
      </c>
      <c r="C24" s="1"/>
    </row>
    <row r="25" spans="1:20" x14ac:dyDescent="0.25">
      <c r="A25" s="1"/>
      <c r="B25" s="1"/>
      <c r="C25" s="1"/>
    </row>
    <row r="26" spans="1:20" x14ac:dyDescent="0.25">
      <c r="A26" s="1"/>
      <c r="B26" s="1"/>
      <c r="C26" s="1"/>
    </row>
    <row r="27" spans="1:20" x14ac:dyDescent="0.25">
      <c r="A27" s="1"/>
      <c r="B27" s="1"/>
      <c r="C27" s="1"/>
    </row>
    <row r="28" spans="1:20" x14ac:dyDescent="0.25">
      <c r="A28" s="1"/>
      <c r="B28" s="1"/>
      <c r="C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23B1-C437-49C5-AAC0-A4AC9727D982}">
  <dimension ref="A1:AC39"/>
  <sheetViews>
    <sheetView tabSelected="1" topLeftCell="A12" workbookViewId="0">
      <selection activeCell="AD7" sqref="AD7"/>
    </sheetView>
  </sheetViews>
  <sheetFormatPr defaultRowHeight="12" x14ac:dyDescent="0.2"/>
  <cols>
    <col min="1" max="1" width="18.28515625" style="6" bestFit="1" customWidth="1"/>
    <col min="2" max="28" width="3.28515625" style="1" customWidth="1"/>
    <col min="29" max="29" width="15.5703125" style="1" bestFit="1" customWidth="1"/>
    <col min="30" max="16384" width="9.140625" style="1"/>
  </cols>
  <sheetData>
    <row r="1" spans="1:29" ht="96.75" x14ac:dyDescent="0.2">
      <c r="A1" s="29"/>
      <c r="B1" s="31"/>
      <c r="C1" s="10" t="s">
        <v>80</v>
      </c>
      <c r="D1" s="10" t="s">
        <v>81</v>
      </c>
      <c r="E1" s="10" t="s">
        <v>82</v>
      </c>
      <c r="F1" s="27" t="s">
        <v>112</v>
      </c>
      <c r="G1" s="2" t="s">
        <v>0</v>
      </c>
      <c r="H1" s="2" t="s">
        <v>134</v>
      </c>
      <c r="I1" s="2" t="s">
        <v>135</v>
      </c>
      <c r="J1" s="2" t="s">
        <v>136</v>
      </c>
      <c r="K1" s="2" t="s">
        <v>137</v>
      </c>
      <c r="L1" s="16" t="s">
        <v>71</v>
      </c>
      <c r="M1" s="16" t="s">
        <v>72</v>
      </c>
      <c r="N1" s="16" t="s">
        <v>73</v>
      </c>
      <c r="O1" s="16" t="s">
        <v>116</v>
      </c>
      <c r="P1" s="16" t="s">
        <v>74</v>
      </c>
      <c r="Q1" s="16" t="s">
        <v>75</v>
      </c>
      <c r="R1" s="16" t="s">
        <v>76</v>
      </c>
      <c r="S1" s="16" t="s">
        <v>77</v>
      </c>
      <c r="T1" s="16" t="s">
        <v>78</v>
      </c>
      <c r="U1" s="16" t="s">
        <v>70</v>
      </c>
      <c r="V1" s="16" t="s">
        <v>79</v>
      </c>
      <c r="W1" s="16" t="s">
        <v>58</v>
      </c>
      <c r="X1" s="16" t="s">
        <v>59</v>
      </c>
      <c r="Y1" s="16" t="s">
        <v>57</v>
      </c>
      <c r="Z1" s="16" t="s">
        <v>115</v>
      </c>
      <c r="AA1" s="16" t="s">
        <v>69</v>
      </c>
      <c r="AB1" s="31"/>
      <c r="AC1" s="31"/>
    </row>
    <row r="2" spans="1:29" ht="17.25" customHeight="1" x14ac:dyDescent="0.2">
      <c r="A2" s="29"/>
      <c r="B2" s="31"/>
      <c r="C2" s="31">
        <v>75</v>
      </c>
      <c r="D2" s="31">
        <v>74</v>
      </c>
      <c r="E2" s="31">
        <v>73</v>
      </c>
      <c r="F2" s="31">
        <v>72</v>
      </c>
      <c r="G2" s="31">
        <v>71</v>
      </c>
      <c r="H2" s="31">
        <v>70</v>
      </c>
      <c r="I2" s="31">
        <v>69</v>
      </c>
      <c r="J2" s="31">
        <v>68</v>
      </c>
      <c r="K2" s="31">
        <v>67</v>
      </c>
      <c r="L2" s="31">
        <v>66</v>
      </c>
      <c r="M2" s="31">
        <v>65</v>
      </c>
      <c r="N2" s="31">
        <v>64</v>
      </c>
      <c r="O2" s="31">
        <v>63</v>
      </c>
      <c r="P2" s="31">
        <v>62</v>
      </c>
      <c r="Q2" s="31">
        <v>61</v>
      </c>
      <c r="R2" s="31">
        <v>60</v>
      </c>
      <c r="S2" s="31">
        <v>59</v>
      </c>
      <c r="T2" s="31">
        <v>58</v>
      </c>
      <c r="U2" s="31">
        <v>57</v>
      </c>
      <c r="V2" s="31">
        <v>56</v>
      </c>
      <c r="W2" s="31">
        <v>55</v>
      </c>
      <c r="X2" s="31">
        <v>54</v>
      </c>
      <c r="Y2" s="31">
        <v>53</v>
      </c>
      <c r="Z2" s="31">
        <v>52</v>
      </c>
      <c r="AA2" s="31">
        <v>51</v>
      </c>
      <c r="AB2" s="31"/>
      <c r="AC2" s="31"/>
    </row>
    <row r="3" spans="1:29" ht="17.25" customHeight="1" x14ac:dyDescent="0.2">
      <c r="A3" s="28" t="s">
        <v>110</v>
      </c>
      <c r="B3" s="31">
        <v>76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>
        <v>50</v>
      </c>
      <c r="AC3" s="9" t="s">
        <v>80</v>
      </c>
    </row>
    <row r="4" spans="1:29" ht="17.25" customHeight="1" x14ac:dyDescent="0.2">
      <c r="A4" s="28" t="s">
        <v>128</v>
      </c>
      <c r="B4" s="31">
        <v>77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>
        <v>49</v>
      </c>
      <c r="AC4" s="9" t="s">
        <v>81</v>
      </c>
    </row>
    <row r="5" spans="1:29" ht="17.25" customHeight="1" x14ac:dyDescent="0.2">
      <c r="A5" s="25" t="s">
        <v>119</v>
      </c>
      <c r="B5" s="31">
        <v>78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>
        <v>48</v>
      </c>
      <c r="AC5" s="9" t="s">
        <v>82</v>
      </c>
    </row>
    <row r="6" spans="1:29" ht="17.25" customHeight="1" x14ac:dyDescent="0.2">
      <c r="A6" s="25" t="s">
        <v>120</v>
      </c>
      <c r="B6" s="31">
        <v>79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47</v>
      </c>
      <c r="AC6" s="39" t="s">
        <v>173</v>
      </c>
    </row>
    <row r="7" spans="1:29" ht="17.25" customHeight="1" x14ac:dyDescent="0.2">
      <c r="A7" s="25" t="s">
        <v>121</v>
      </c>
      <c r="B7" s="31">
        <v>80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>
        <v>46</v>
      </c>
      <c r="AC7" s="44" t="s">
        <v>185</v>
      </c>
    </row>
    <row r="8" spans="1:29" ht="17.25" customHeight="1" x14ac:dyDescent="0.2">
      <c r="A8" s="25" t="s">
        <v>122</v>
      </c>
      <c r="B8" s="31">
        <v>81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>
        <v>45</v>
      </c>
      <c r="AC8" s="44" t="s">
        <v>186</v>
      </c>
    </row>
    <row r="9" spans="1:29" ht="17.25" customHeight="1" x14ac:dyDescent="0.2">
      <c r="A9" s="25" t="s">
        <v>123</v>
      </c>
      <c r="B9" s="31">
        <v>82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>
        <v>44</v>
      </c>
      <c r="AC9" s="44" t="s">
        <v>187</v>
      </c>
    </row>
    <row r="10" spans="1:29" ht="17.25" customHeight="1" x14ac:dyDescent="0.2">
      <c r="A10" s="25" t="s">
        <v>124</v>
      </c>
      <c r="B10" s="31">
        <v>83</v>
      </c>
      <c r="C10" s="31"/>
      <c r="D10" s="31"/>
      <c r="E10" s="31"/>
      <c r="F10" s="31"/>
      <c r="G10" s="41"/>
      <c r="H10" s="42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>
        <v>43</v>
      </c>
      <c r="AC10" s="44" t="s">
        <v>188</v>
      </c>
    </row>
    <row r="11" spans="1:29" ht="17.25" customHeight="1" x14ac:dyDescent="0.2">
      <c r="A11" s="25" t="s">
        <v>125</v>
      </c>
      <c r="B11" s="31">
        <v>84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42</v>
      </c>
      <c r="AC11" s="32" t="s">
        <v>55</v>
      </c>
    </row>
    <row r="12" spans="1:29" ht="17.25" customHeight="1" x14ac:dyDescent="0.2">
      <c r="A12" s="28" t="s">
        <v>131</v>
      </c>
      <c r="B12" s="31">
        <v>85</v>
      </c>
      <c r="C12" s="31"/>
      <c r="D12" s="31"/>
      <c r="E12" s="31"/>
      <c r="F12" s="31"/>
      <c r="G12" s="31"/>
      <c r="H12" s="31"/>
      <c r="I12" s="31"/>
      <c r="J12" s="31"/>
      <c r="K12" s="31"/>
      <c r="M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>
        <v>41</v>
      </c>
      <c r="AC12" s="32" t="s">
        <v>56</v>
      </c>
    </row>
    <row r="13" spans="1:29" ht="17.25" customHeight="1" x14ac:dyDescent="0.2">
      <c r="A13" s="28" t="s">
        <v>132</v>
      </c>
      <c r="B13" s="31">
        <v>86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>
        <v>40</v>
      </c>
      <c r="AC13" s="32" t="s">
        <v>39</v>
      </c>
    </row>
    <row r="14" spans="1:29" ht="17.25" customHeight="1" x14ac:dyDescent="0.2">
      <c r="A14" s="5" t="s">
        <v>127</v>
      </c>
      <c r="B14" s="31">
        <v>87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P14" s="40" t="s">
        <v>176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>
        <v>39</v>
      </c>
      <c r="AC14" s="32" t="s">
        <v>40</v>
      </c>
    </row>
    <row r="15" spans="1:29" ht="17.25" customHeight="1" x14ac:dyDescent="0.2">
      <c r="A15" s="5" t="s">
        <v>15</v>
      </c>
      <c r="B15" s="31">
        <v>88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>
        <v>38</v>
      </c>
      <c r="AC15" s="32" t="s">
        <v>41</v>
      </c>
    </row>
    <row r="16" spans="1:29" ht="17.25" customHeight="1" x14ac:dyDescent="0.2">
      <c r="A16" s="28" t="s">
        <v>129</v>
      </c>
      <c r="B16" s="31">
        <v>89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>
        <v>37</v>
      </c>
      <c r="AC16" s="32" t="s">
        <v>42</v>
      </c>
    </row>
    <row r="17" spans="1:29" ht="17.25" customHeight="1" x14ac:dyDescent="0.2">
      <c r="A17" s="29" t="s">
        <v>117</v>
      </c>
      <c r="B17" s="31">
        <v>90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>
        <v>36</v>
      </c>
      <c r="AC17" s="32" t="s">
        <v>43</v>
      </c>
    </row>
    <row r="18" spans="1:29" ht="17.25" customHeight="1" x14ac:dyDescent="0.2">
      <c r="A18" s="29" t="s">
        <v>16</v>
      </c>
      <c r="B18" s="31">
        <v>91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>
        <v>35</v>
      </c>
      <c r="AC18" s="32" t="s">
        <v>44</v>
      </c>
    </row>
    <row r="19" spans="1:29" ht="17.25" customHeight="1" x14ac:dyDescent="0.2">
      <c r="A19" s="29" t="s">
        <v>17</v>
      </c>
      <c r="B19" s="31">
        <v>92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>
        <v>34</v>
      </c>
      <c r="AC19" s="32" t="s">
        <v>45</v>
      </c>
    </row>
    <row r="20" spans="1:29" ht="17.25" customHeight="1" x14ac:dyDescent="0.2">
      <c r="A20" s="29" t="s">
        <v>18</v>
      </c>
      <c r="B20" s="31">
        <v>93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>
        <v>33</v>
      </c>
      <c r="AC20" s="32" t="s">
        <v>46</v>
      </c>
    </row>
    <row r="21" spans="1:29" ht="17.25" customHeight="1" x14ac:dyDescent="0.2">
      <c r="A21" s="29" t="s">
        <v>118</v>
      </c>
      <c r="B21" s="31">
        <v>94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>
        <v>32</v>
      </c>
      <c r="AC21" s="32" t="s">
        <v>47</v>
      </c>
    </row>
    <row r="22" spans="1:29" ht="17.25" customHeight="1" x14ac:dyDescent="0.2">
      <c r="A22" s="29" t="s">
        <v>19</v>
      </c>
      <c r="B22" s="31">
        <v>95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>
        <v>31</v>
      </c>
      <c r="AC22" s="32" t="s">
        <v>48</v>
      </c>
    </row>
    <row r="23" spans="1:29" ht="17.25" customHeight="1" x14ac:dyDescent="0.2">
      <c r="A23" s="29" t="s">
        <v>20</v>
      </c>
      <c r="B23" s="31">
        <v>96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>
        <v>30</v>
      </c>
      <c r="AC23" s="32" t="s">
        <v>49</v>
      </c>
    </row>
    <row r="24" spans="1:29" ht="17.25" customHeight="1" x14ac:dyDescent="0.2">
      <c r="A24" s="29" t="s">
        <v>21</v>
      </c>
      <c r="B24" s="31">
        <v>97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>
        <v>29</v>
      </c>
      <c r="AC24" s="32" t="s">
        <v>38</v>
      </c>
    </row>
    <row r="25" spans="1:29" ht="17.25" customHeight="1" x14ac:dyDescent="0.2">
      <c r="A25" s="29" t="s">
        <v>22</v>
      </c>
      <c r="B25" s="31">
        <v>98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>
        <v>28</v>
      </c>
      <c r="AC25" s="9" t="s">
        <v>83</v>
      </c>
    </row>
    <row r="26" spans="1:29" ht="17.25" customHeight="1" x14ac:dyDescent="0.2">
      <c r="A26" s="11" t="s">
        <v>81</v>
      </c>
      <c r="B26" s="31">
        <v>99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>
        <v>27</v>
      </c>
      <c r="AC26" s="9" t="s">
        <v>84</v>
      </c>
    </row>
    <row r="27" spans="1:29" ht="17.25" customHeight="1" x14ac:dyDescent="0.2">
      <c r="A27" s="11" t="s">
        <v>80</v>
      </c>
      <c r="B27" s="31">
        <v>100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>
        <v>26</v>
      </c>
      <c r="AC27" s="32" t="s">
        <v>37</v>
      </c>
    </row>
    <row r="28" spans="1:29" ht="17.25" customHeight="1" x14ac:dyDescent="0.2">
      <c r="A28" s="29"/>
      <c r="B28" s="31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  <c r="O28" s="31">
        <v>13</v>
      </c>
      <c r="P28" s="31">
        <v>14</v>
      </c>
      <c r="Q28" s="31">
        <v>15</v>
      </c>
      <c r="R28" s="31">
        <v>16</v>
      </c>
      <c r="S28" s="31">
        <v>17</v>
      </c>
      <c r="T28" s="31">
        <v>18</v>
      </c>
      <c r="U28" s="31">
        <v>19</v>
      </c>
      <c r="V28" s="31">
        <v>20</v>
      </c>
      <c r="W28" s="31">
        <v>21</v>
      </c>
      <c r="X28" s="31">
        <v>22</v>
      </c>
      <c r="Y28" s="31">
        <v>23</v>
      </c>
      <c r="Z28" s="31">
        <v>24</v>
      </c>
      <c r="AA28" s="31">
        <v>25</v>
      </c>
      <c r="AB28" s="31"/>
      <c r="AC28" s="31"/>
    </row>
    <row r="29" spans="1:29" ht="75" customHeight="1" x14ac:dyDescent="0.2">
      <c r="A29" s="29"/>
      <c r="B29" s="31"/>
      <c r="C29" s="30" t="s">
        <v>1</v>
      </c>
      <c r="D29" s="30" t="s">
        <v>2</v>
      </c>
      <c r="E29" s="30" t="s">
        <v>130</v>
      </c>
      <c r="F29" s="30" t="s">
        <v>3</v>
      </c>
      <c r="G29" s="30" t="s">
        <v>4</v>
      </c>
      <c r="H29" s="8" t="s">
        <v>80</v>
      </c>
      <c r="I29" s="3" t="s">
        <v>5</v>
      </c>
      <c r="J29" s="30" t="s">
        <v>6</v>
      </c>
      <c r="K29" s="30" t="s">
        <v>7</v>
      </c>
      <c r="L29" s="8" t="s">
        <v>81</v>
      </c>
      <c r="M29" s="8" t="s">
        <v>80</v>
      </c>
      <c r="N29" s="3" t="s">
        <v>8</v>
      </c>
      <c r="O29" s="3" t="s">
        <v>9</v>
      </c>
      <c r="P29" s="8" t="s">
        <v>155</v>
      </c>
      <c r="Q29" s="12" t="s">
        <v>28</v>
      </c>
      <c r="R29" s="12" t="s">
        <v>29</v>
      </c>
      <c r="S29" s="12" t="s">
        <v>30</v>
      </c>
      <c r="T29" s="12" t="s">
        <v>31</v>
      </c>
      <c r="U29" s="12" t="s">
        <v>32</v>
      </c>
      <c r="V29" s="8" t="s">
        <v>156</v>
      </c>
      <c r="W29" s="8" t="s">
        <v>157</v>
      </c>
      <c r="X29" s="12" t="s">
        <v>33</v>
      </c>
      <c r="Y29" s="12" t="s">
        <v>34</v>
      </c>
      <c r="Z29" s="12" t="s">
        <v>35</v>
      </c>
      <c r="AA29" s="12" t="s">
        <v>36</v>
      </c>
      <c r="AB29" s="31"/>
      <c r="AC29" s="31"/>
    </row>
    <row r="31" spans="1:29" x14ac:dyDescent="0.2">
      <c r="A31" s="6" t="s">
        <v>133</v>
      </c>
      <c r="B31" s="1">
        <v>100</v>
      </c>
    </row>
    <row r="32" spans="1:29" x14ac:dyDescent="0.2">
      <c r="A32" s="13" t="s">
        <v>26</v>
      </c>
      <c r="B32" s="1">
        <f>COUNTIF(A1:AC29, "*(GTO)*")</f>
        <v>16</v>
      </c>
    </row>
    <row r="33" spans="1:2" x14ac:dyDescent="0.2">
      <c r="A33" s="34" t="s">
        <v>27</v>
      </c>
      <c r="B33" s="1">
        <f>COUNTIF(A1:AC29, "* (AN)*")</f>
        <v>24</v>
      </c>
    </row>
    <row r="34" spans="1:2" x14ac:dyDescent="0.2">
      <c r="A34" s="19" t="s">
        <v>126</v>
      </c>
      <c r="B34" s="1">
        <f>COUNTIF(A1:AC29, "*PMBus*")</f>
        <v>7</v>
      </c>
    </row>
    <row r="35" spans="1:2" x14ac:dyDescent="0.2">
      <c r="A35" s="20" t="s">
        <v>85</v>
      </c>
      <c r="B35" s="1">
        <f>COUNTIF(A1:AC29,"*(SYS)*")</f>
        <v>16</v>
      </c>
    </row>
    <row r="36" spans="1:2" x14ac:dyDescent="0.2">
      <c r="A36" s="6" t="s">
        <v>174</v>
      </c>
      <c r="B36" s="1">
        <f>B33</f>
        <v>24</v>
      </c>
    </row>
    <row r="37" spans="1:2" x14ac:dyDescent="0.2">
      <c r="A37" s="6" t="s">
        <v>178</v>
      </c>
      <c r="B37" s="1">
        <f>B31-SUM(B32:B36)</f>
        <v>13</v>
      </c>
    </row>
    <row r="39" spans="1:2" x14ac:dyDescent="0.2">
      <c r="A39" s="26" t="s">
        <v>111</v>
      </c>
      <c r="B39" s="1">
        <f>COUNTIF(A1:AC29, "*JTAG*")</f>
        <v>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38CA-723B-456F-AE8C-2CCE7CC42D18}">
  <dimension ref="A1:AC39"/>
  <sheetViews>
    <sheetView topLeftCell="A6" workbookViewId="0">
      <selection activeCell="V2" sqref="V2"/>
    </sheetView>
  </sheetViews>
  <sheetFormatPr defaultRowHeight="12" x14ac:dyDescent="0.2"/>
  <cols>
    <col min="1" max="1" width="18.28515625" style="6" bestFit="1" customWidth="1"/>
    <col min="2" max="28" width="3.28515625" style="1" customWidth="1"/>
    <col min="29" max="29" width="15.5703125" style="1" bestFit="1" customWidth="1"/>
    <col min="30" max="16384" width="9.140625" style="1"/>
  </cols>
  <sheetData>
    <row r="1" spans="1:29" ht="96.75" x14ac:dyDescent="0.2">
      <c r="A1" s="29"/>
      <c r="B1" s="31"/>
      <c r="C1" s="10" t="s">
        <v>80</v>
      </c>
      <c r="D1" s="10" t="s">
        <v>81</v>
      </c>
      <c r="E1" s="10" t="s">
        <v>82</v>
      </c>
      <c r="F1" s="27" t="s">
        <v>112</v>
      </c>
      <c r="G1" s="2" t="s">
        <v>0</v>
      </c>
      <c r="H1" s="2" t="s">
        <v>134</v>
      </c>
      <c r="I1" s="2" t="s">
        <v>135</v>
      </c>
      <c r="J1" s="2" t="s">
        <v>136</v>
      </c>
      <c r="K1" s="2" t="s">
        <v>137</v>
      </c>
      <c r="L1" s="16" t="s">
        <v>161</v>
      </c>
      <c r="M1" s="16" t="s">
        <v>168</v>
      </c>
      <c r="N1" s="16" t="s">
        <v>162</v>
      </c>
      <c r="O1" s="16" t="s">
        <v>163</v>
      </c>
      <c r="P1" s="16" t="s">
        <v>180</v>
      </c>
      <c r="Q1" s="16" t="s">
        <v>181</v>
      </c>
      <c r="R1" s="16" t="s">
        <v>182</v>
      </c>
      <c r="S1" s="16" t="s">
        <v>183</v>
      </c>
      <c r="T1" s="16" t="s">
        <v>184</v>
      </c>
      <c r="U1" s="16" t="s">
        <v>70</v>
      </c>
      <c r="V1" s="16" t="s">
        <v>79</v>
      </c>
      <c r="W1" s="16" t="s">
        <v>58</v>
      </c>
      <c r="X1" s="16" t="s">
        <v>59</v>
      </c>
      <c r="Y1" s="16" t="s">
        <v>57</v>
      </c>
      <c r="Z1" s="16" t="s">
        <v>115</v>
      </c>
      <c r="AA1" s="16" t="s">
        <v>69</v>
      </c>
      <c r="AB1" s="31"/>
      <c r="AC1" s="31"/>
    </row>
    <row r="2" spans="1:29" ht="17.25" customHeight="1" x14ac:dyDescent="0.2">
      <c r="A2" s="29"/>
      <c r="B2" s="31"/>
      <c r="C2" s="31">
        <v>75</v>
      </c>
      <c r="D2" s="31">
        <v>74</v>
      </c>
      <c r="E2" s="31">
        <v>73</v>
      </c>
      <c r="F2" s="31">
        <v>72</v>
      </c>
      <c r="G2" s="31">
        <v>71</v>
      </c>
      <c r="H2" s="31">
        <v>70</v>
      </c>
      <c r="I2" s="31">
        <v>69</v>
      </c>
      <c r="J2" s="31">
        <v>68</v>
      </c>
      <c r="K2" s="31">
        <v>67</v>
      </c>
      <c r="L2" s="31">
        <v>66</v>
      </c>
      <c r="M2" s="31">
        <v>65</v>
      </c>
      <c r="N2" s="31">
        <v>64</v>
      </c>
      <c r="O2" s="31">
        <v>63</v>
      </c>
      <c r="P2" s="31">
        <v>62</v>
      </c>
      <c r="Q2" s="31">
        <v>61</v>
      </c>
      <c r="R2" s="31">
        <v>60</v>
      </c>
      <c r="S2" s="31">
        <v>59</v>
      </c>
      <c r="T2" s="31">
        <v>58</v>
      </c>
      <c r="U2" s="31">
        <v>57</v>
      </c>
      <c r="V2" s="31">
        <v>56</v>
      </c>
      <c r="W2" s="31">
        <v>55</v>
      </c>
      <c r="X2" s="31">
        <v>54</v>
      </c>
      <c r="Y2" s="31">
        <v>53</v>
      </c>
      <c r="Z2" s="31">
        <v>52</v>
      </c>
      <c r="AA2" s="31">
        <v>51</v>
      </c>
      <c r="AB2" s="31"/>
      <c r="AC2" s="31"/>
    </row>
    <row r="3" spans="1:29" ht="17.25" customHeight="1" x14ac:dyDescent="0.2">
      <c r="A3" s="28" t="s">
        <v>110</v>
      </c>
      <c r="B3" s="31">
        <v>76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>
        <v>50</v>
      </c>
      <c r="AC3" s="9" t="s">
        <v>80</v>
      </c>
    </row>
    <row r="4" spans="1:29" ht="17.25" customHeight="1" x14ac:dyDescent="0.2">
      <c r="A4" s="28" t="s">
        <v>128</v>
      </c>
      <c r="B4" s="31">
        <v>77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>
        <v>49</v>
      </c>
      <c r="AC4" s="9" t="s">
        <v>81</v>
      </c>
    </row>
    <row r="5" spans="1:29" ht="17.25" customHeight="1" x14ac:dyDescent="0.2">
      <c r="A5" s="25" t="s">
        <v>119</v>
      </c>
      <c r="B5" s="31">
        <v>78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>
        <v>48</v>
      </c>
      <c r="AC5" s="9" t="s">
        <v>82</v>
      </c>
    </row>
    <row r="6" spans="1:29" ht="17.25" customHeight="1" x14ac:dyDescent="0.2">
      <c r="A6" s="25" t="s">
        <v>120</v>
      </c>
      <c r="B6" s="31">
        <v>79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>
        <v>47</v>
      </c>
      <c r="AC6" s="39" t="s">
        <v>173</v>
      </c>
    </row>
    <row r="7" spans="1:29" ht="17.25" customHeight="1" x14ac:dyDescent="0.2">
      <c r="A7" s="25" t="s">
        <v>121</v>
      </c>
      <c r="B7" s="31">
        <v>80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>
        <v>46</v>
      </c>
      <c r="AC7" s="32" t="s">
        <v>51</v>
      </c>
    </row>
    <row r="8" spans="1:29" ht="17.25" customHeight="1" x14ac:dyDescent="0.2">
      <c r="A8" s="25" t="s">
        <v>122</v>
      </c>
      <c r="B8" s="31">
        <v>81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>
        <v>45</v>
      </c>
      <c r="AC8" s="32" t="s">
        <v>52</v>
      </c>
    </row>
    <row r="9" spans="1:29" ht="17.25" customHeight="1" x14ac:dyDescent="0.2">
      <c r="A9" s="25" t="s">
        <v>123</v>
      </c>
      <c r="B9" s="31">
        <v>82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>
        <v>44</v>
      </c>
      <c r="AC9" s="32" t="s">
        <v>53</v>
      </c>
    </row>
    <row r="10" spans="1:29" ht="17.25" customHeight="1" x14ac:dyDescent="0.2">
      <c r="A10" s="25" t="s">
        <v>124</v>
      </c>
      <c r="B10" s="31">
        <v>83</v>
      </c>
      <c r="C10" s="31"/>
      <c r="D10" s="31"/>
      <c r="E10" s="31"/>
      <c r="F10" s="31"/>
      <c r="G10" s="41"/>
      <c r="H10" s="42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>
        <v>43</v>
      </c>
      <c r="AC10" s="32" t="s">
        <v>54</v>
      </c>
    </row>
    <row r="11" spans="1:29" ht="17.25" customHeight="1" x14ac:dyDescent="0.2">
      <c r="A11" s="25" t="s">
        <v>125</v>
      </c>
      <c r="B11" s="31">
        <v>84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>
        <v>42</v>
      </c>
      <c r="AC11" s="32" t="s">
        <v>55</v>
      </c>
    </row>
    <row r="12" spans="1:29" ht="17.25" customHeight="1" x14ac:dyDescent="0.2">
      <c r="A12" s="28" t="s">
        <v>131</v>
      </c>
      <c r="B12" s="31">
        <v>85</v>
      </c>
      <c r="C12" s="31"/>
      <c r="D12" s="31"/>
      <c r="E12" s="31"/>
      <c r="F12" s="31"/>
      <c r="G12" s="31"/>
      <c r="H12" s="31"/>
      <c r="I12" s="31"/>
      <c r="J12" s="31"/>
      <c r="K12" s="31"/>
      <c r="M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>
        <v>41</v>
      </c>
      <c r="AC12" s="32" t="s">
        <v>56</v>
      </c>
    </row>
    <row r="13" spans="1:29" ht="17.25" customHeight="1" x14ac:dyDescent="0.2">
      <c r="A13" s="28" t="s">
        <v>132</v>
      </c>
      <c r="B13" s="31">
        <v>86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>
        <v>40</v>
      </c>
      <c r="AC13" s="32" t="s">
        <v>39</v>
      </c>
    </row>
    <row r="14" spans="1:29" ht="17.25" customHeight="1" x14ac:dyDescent="0.2">
      <c r="A14" s="5" t="s">
        <v>127</v>
      </c>
      <c r="B14" s="31">
        <v>87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P14" s="40" t="s">
        <v>176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>
        <v>39</v>
      </c>
      <c r="AC14" s="32" t="s">
        <v>40</v>
      </c>
    </row>
    <row r="15" spans="1:29" ht="17.25" customHeight="1" x14ac:dyDescent="0.2">
      <c r="A15" s="5" t="s">
        <v>15</v>
      </c>
      <c r="B15" s="31">
        <v>88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>
        <v>38</v>
      </c>
      <c r="AC15" s="32" t="s">
        <v>41</v>
      </c>
    </row>
    <row r="16" spans="1:29" ht="17.25" customHeight="1" x14ac:dyDescent="0.2">
      <c r="A16" s="28" t="s">
        <v>129</v>
      </c>
      <c r="B16" s="31">
        <v>89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>
        <v>37</v>
      </c>
      <c r="AC16" s="32" t="s">
        <v>42</v>
      </c>
    </row>
    <row r="17" spans="1:29" ht="17.25" customHeight="1" x14ac:dyDescent="0.2">
      <c r="A17" s="29" t="s">
        <v>117</v>
      </c>
      <c r="B17" s="31">
        <v>90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>
        <v>36</v>
      </c>
      <c r="AC17" s="32" t="s">
        <v>43</v>
      </c>
    </row>
    <row r="18" spans="1:29" ht="17.25" customHeight="1" x14ac:dyDescent="0.2">
      <c r="A18" s="29" t="s">
        <v>16</v>
      </c>
      <c r="B18" s="31">
        <v>91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>
        <v>35</v>
      </c>
      <c r="AC18" s="32" t="s">
        <v>44</v>
      </c>
    </row>
    <row r="19" spans="1:29" ht="17.25" customHeight="1" x14ac:dyDescent="0.2">
      <c r="A19" s="29" t="s">
        <v>17</v>
      </c>
      <c r="B19" s="31">
        <v>92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>
        <v>34</v>
      </c>
      <c r="AC19" s="32" t="s">
        <v>45</v>
      </c>
    </row>
    <row r="20" spans="1:29" ht="17.25" customHeight="1" x14ac:dyDescent="0.2">
      <c r="A20" s="29" t="s">
        <v>18</v>
      </c>
      <c r="B20" s="31">
        <v>93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>
        <v>33</v>
      </c>
      <c r="AC20" s="32" t="s">
        <v>46</v>
      </c>
    </row>
    <row r="21" spans="1:29" ht="17.25" customHeight="1" x14ac:dyDescent="0.2">
      <c r="A21" s="29" t="s">
        <v>118</v>
      </c>
      <c r="B21" s="31">
        <v>94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>
        <v>32</v>
      </c>
      <c r="AC21" s="32" t="s">
        <v>47</v>
      </c>
    </row>
    <row r="22" spans="1:29" ht="17.25" customHeight="1" x14ac:dyDescent="0.2">
      <c r="A22" s="29" t="s">
        <v>19</v>
      </c>
      <c r="B22" s="31">
        <v>95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>
        <v>31</v>
      </c>
      <c r="AC22" s="32" t="s">
        <v>48</v>
      </c>
    </row>
    <row r="23" spans="1:29" ht="17.25" customHeight="1" x14ac:dyDescent="0.2">
      <c r="A23" s="29" t="s">
        <v>20</v>
      </c>
      <c r="B23" s="31">
        <v>96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>
        <v>30</v>
      </c>
      <c r="AC23" s="32" t="s">
        <v>49</v>
      </c>
    </row>
    <row r="24" spans="1:29" ht="17.25" customHeight="1" x14ac:dyDescent="0.2">
      <c r="A24" s="29" t="s">
        <v>21</v>
      </c>
      <c r="B24" s="31">
        <v>97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>
        <v>29</v>
      </c>
      <c r="AC24" s="32" t="s">
        <v>38</v>
      </c>
    </row>
    <row r="25" spans="1:29" ht="17.25" customHeight="1" x14ac:dyDescent="0.2">
      <c r="A25" s="29" t="s">
        <v>22</v>
      </c>
      <c r="B25" s="31">
        <v>98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>
        <v>28</v>
      </c>
      <c r="AC25" s="9" t="s">
        <v>83</v>
      </c>
    </row>
    <row r="26" spans="1:29" ht="17.25" customHeight="1" x14ac:dyDescent="0.2">
      <c r="A26" s="11" t="s">
        <v>81</v>
      </c>
      <c r="B26" s="31">
        <v>99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>
        <v>27</v>
      </c>
      <c r="AC26" s="9" t="s">
        <v>84</v>
      </c>
    </row>
    <row r="27" spans="1:29" ht="17.25" customHeight="1" x14ac:dyDescent="0.2">
      <c r="A27" s="11" t="s">
        <v>80</v>
      </c>
      <c r="B27" s="31">
        <v>100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>
        <v>26</v>
      </c>
      <c r="AC27" s="32" t="s">
        <v>37</v>
      </c>
    </row>
    <row r="28" spans="1:29" ht="17.25" customHeight="1" x14ac:dyDescent="0.2">
      <c r="A28" s="29"/>
      <c r="B28" s="31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  <c r="O28" s="31">
        <v>13</v>
      </c>
      <c r="P28" s="31">
        <v>14</v>
      </c>
      <c r="Q28" s="31">
        <v>15</v>
      </c>
      <c r="R28" s="31">
        <v>16</v>
      </c>
      <c r="S28" s="31">
        <v>17</v>
      </c>
      <c r="T28" s="31">
        <v>18</v>
      </c>
      <c r="U28" s="31">
        <v>19</v>
      </c>
      <c r="V28" s="31">
        <v>20</v>
      </c>
      <c r="W28" s="31">
        <v>21</v>
      </c>
      <c r="X28" s="31">
        <v>22</v>
      </c>
      <c r="Y28" s="31">
        <v>23</v>
      </c>
      <c r="Z28" s="31">
        <v>24</v>
      </c>
      <c r="AA28" s="31">
        <v>25</v>
      </c>
      <c r="AB28" s="31"/>
      <c r="AC28" s="31"/>
    </row>
    <row r="29" spans="1:29" ht="75" customHeight="1" x14ac:dyDescent="0.2">
      <c r="A29" s="29"/>
      <c r="B29" s="31"/>
      <c r="C29" s="30" t="s">
        <v>1</v>
      </c>
      <c r="D29" s="30" t="s">
        <v>2</v>
      </c>
      <c r="E29" s="30" t="s">
        <v>130</v>
      </c>
      <c r="F29" s="30" t="s">
        <v>3</v>
      </c>
      <c r="G29" s="30" t="s">
        <v>4</v>
      </c>
      <c r="H29" s="8" t="s">
        <v>80</v>
      </c>
      <c r="I29" s="3" t="s">
        <v>5</v>
      </c>
      <c r="J29" s="30" t="s">
        <v>6</v>
      </c>
      <c r="K29" s="30" t="s">
        <v>7</v>
      </c>
      <c r="L29" s="8" t="s">
        <v>81</v>
      </c>
      <c r="M29" s="8" t="s">
        <v>80</v>
      </c>
      <c r="N29" s="3" t="s">
        <v>8</v>
      </c>
      <c r="O29" s="3" t="s">
        <v>9</v>
      </c>
      <c r="P29" s="8" t="s">
        <v>155</v>
      </c>
      <c r="Q29" s="12" t="s">
        <v>28</v>
      </c>
      <c r="R29" s="12" t="s">
        <v>29</v>
      </c>
      <c r="S29" s="12" t="s">
        <v>30</v>
      </c>
      <c r="T29" s="12" t="s">
        <v>31</v>
      </c>
      <c r="U29" s="12" t="s">
        <v>32</v>
      </c>
      <c r="V29" s="8" t="s">
        <v>156</v>
      </c>
      <c r="W29" s="8" t="s">
        <v>157</v>
      </c>
      <c r="X29" s="12" t="s">
        <v>33</v>
      </c>
      <c r="Y29" s="12" t="s">
        <v>34</v>
      </c>
      <c r="Z29" s="12" t="s">
        <v>35</v>
      </c>
      <c r="AA29" s="12" t="s">
        <v>36</v>
      </c>
      <c r="AB29" s="31"/>
      <c r="AC29" s="31"/>
    </row>
    <row r="31" spans="1:29" x14ac:dyDescent="0.2">
      <c r="A31" s="6" t="s">
        <v>133</v>
      </c>
      <c r="B31" s="1">
        <v>100</v>
      </c>
    </row>
    <row r="32" spans="1:29" x14ac:dyDescent="0.2">
      <c r="A32" s="13" t="s">
        <v>26</v>
      </c>
      <c r="B32" s="1">
        <f>COUNTIF(A1:AC29, "*(GTO)*")</f>
        <v>7</v>
      </c>
    </row>
    <row r="33" spans="1:2" x14ac:dyDescent="0.2">
      <c r="A33" s="34" t="s">
        <v>27</v>
      </c>
      <c r="B33" s="1">
        <f>COUNTIF(A1:AC29, "* (AN)*")</f>
        <v>28</v>
      </c>
    </row>
    <row r="34" spans="1:2" x14ac:dyDescent="0.2">
      <c r="A34" s="19" t="s">
        <v>126</v>
      </c>
      <c r="B34" s="1">
        <f>COUNTIF(A1:AC29, "*PMBus*")</f>
        <v>7</v>
      </c>
    </row>
    <row r="35" spans="1:2" x14ac:dyDescent="0.2">
      <c r="A35" s="20" t="s">
        <v>85</v>
      </c>
      <c r="B35" s="1">
        <f>COUNTIF(A1:AC29,"*(SYS)*")</f>
        <v>16</v>
      </c>
    </row>
    <row r="36" spans="1:2" x14ac:dyDescent="0.2">
      <c r="A36" s="6" t="s">
        <v>174</v>
      </c>
      <c r="B36" s="1">
        <f>B33</f>
        <v>28</v>
      </c>
    </row>
    <row r="37" spans="1:2" x14ac:dyDescent="0.2">
      <c r="A37" s="6" t="s">
        <v>178</v>
      </c>
      <c r="B37" s="1">
        <f>B31-SUM(B32:B36)</f>
        <v>14</v>
      </c>
    </row>
    <row r="39" spans="1:2" x14ac:dyDescent="0.2">
      <c r="A39" s="26" t="s">
        <v>111</v>
      </c>
      <c r="B39" s="1">
        <f>COUNTIF(A1:AC29, "*JTAG*")</f>
        <v>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5BF4-C1A2-47F3-97CA-C7AFA8E58A47}">
  <dimension ref="A1:T31"/>
  <sheetViews>
    <sheetView workbookViewId="0">
      <selection activeCell="A28" sqref="A28"/>
    </sheetView>
  </sheetViews>
  <sheetFormatPr defaultRowHeight="15" x14ac:dyDescent="0.25"/>
  <cols>
    <col min="1" max="1" width="18.28515625" bestFit="1" customWidth="1"/>
    <col min="2" max="19" width="2.85546875" customWidth="1"/>
  </cols>
  <sheetData>
    <row r="1" spans="1:20" ht="96.75" x14ac:dyDescent="0.25">
      <c r="A1" s="33"/>
      <c r="B1" s="33"/>
      <c r="C1" s="10" t="s">
        <v>80</v>
      </c>
      <c r="D1" s="10" t="s">
        <v>81</v>
      </c>
      <c r="E1" s="27" t="s">
        <v>112</v>
      </c>
      <c r="F1" s="2" t="s">
        <v>0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161</v>
      </c>
      <c r="L1" s="2" t="s">
        <v>168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166</v>
      </c>
      <c r="R1" s="2" t="s">
        <v>167</v>
      </c>
      <c r="S1" s="33"/>
      <c r="T1" s="33"/>
    </row>
    <row r="2" spans="1:20" x14ac:dyDescent="0.25">
      <c r="A2" s="33"/>
      <c r="B2" s="33"/>
      <c r="C2" s="33">
        <v>48</v>
      </c>
      <c r="D2" s="33">
        <v>47</v>
      </c>
      <c r="E2" s="33">
        <v>46</v>
      </c>
      <c r="F2" s="33">
        <v>45</v>
      </c>
      <c r="G2" s="33">
        <v>44</v>
      </c>
      <c r="H2" s="33">
        <v>43</v>
      </c>
      <c r="I2" s="33">
        <v>42</v>
      </c>
      <c r="J2" s="33">
        <v>41</v>
      </c>
      <c r="K2" s="33">
        <v>40</v>
      </c>
      <c r="L2" s="33">
        <v>39</v>
      </c>
      <c r="M2" s="33">
        <v>38</v>
      </c>
      <c r="N2" s="33">
        <v>37</v>
      </c>
      <c r="O2" s="33">
        <v>36</v>
      </c>
      <c r="P2" s="33">
        <v>35</v>
      </c>
      <c r="Q2" s="33">
        <v>34</v>
      </c>
      <c r="R2" s="33">
        <v>33</v>
      </c>
      <c r="S2" s="33"/>
      <c r="T2" s="33"/>
    </row>
    <row r="3" spans="1:20" x14ac:dyDescent="0.25">
      <c r="A3" s="28" t="s">
        <v>110</v>
      </c>
      <c r="B3" s="33">
        <v>49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>
        <v>32</v>
      </c>
      <c r="T3" s="9" t="s">
        <v>80</v>
      </c>
    </row>
    <row r="4" spans="1:20" x14ac:dyDescent="0.25">
      <c r="A4" s="28" t="s">
        <v>128</v>
      </c>
      <c r="B4" s="33">
        <v>50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>
        <v>31</v>
      </c>
      <c r="T4" s="9" t="s">
        <v>81</v>
      </c>
    </row>
    <row r="5" spans="1:20" x14ac:dyDescent="0.25">
      <c r="A5" s="25" t="s">
        <v>148</v>
      </c>
      <c r="B5" s="33">
        <v>51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>
        <v>30</v>
      </c>
      <c r="T5" s="9" t="s">
        <v>82</v>
      </c>
    </row>
    <row r="6" spans="1:20" x14ac:dyDescent="0.25">
      <c r="A6" s="25" t="s">
        <v>149</v>
      </c>
      <c r="B6" s="33">
        <v>52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>
        <v>29</v>
      </c>
      <c r="T6" s="32" t="s">
        <v>41</v>
      </c>
    </row>
    <row r="7" spans="1:20" x14ac:dyDescent="0.25">
      <c r="A7" s="25" t="s">
        <v>150</v>
      </c>
      <c r="B7" s="33">
        <v>53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>
        <v>28</v>
      </c>
      <c r="T7" s="32" t="s">
        <v>42</v>
      </c>
    </row>
    <row r="8" spans="1:20" x14ac:dyDescent="0.25">
      <c r="A8" s="25" t="s">
        <v>151</v>
      </c>
      <c r="B8" s="33">
        <v>54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>
        <v>27</v>
      </c>
      <c r="T8" s="32" t="s">
        <v>43</v>
      </c>
    </row>
    <row r="9" spans="1:20" x14ac:dyDescent="0.25">
      <c r="A9" s="28" t="s">
        <v>159</v>
      </c>
      <c r="B9" s="33">
        <v>55</v>
      </c>
      <c r="C9" s="33"/>
      <c r="D9" s="33"/>
      <c r="E9" s="33"/>
      <c r="F9" s="33"/>
      <c r="G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>
        <v>26</v>
      </c>
      <c r="T9" s="32" t="s">
        <v>44</v>
      </c>
    </row>
    <row r="10" spans="1:20" x14ac:dyDescent="0.25">
      <c r="A10" s="25" t="s">
        <v>152</v>
      </c>
      <c r="B10" s="33">
        <v>56</v>
      </c>
      <c r="C10" s="33"/>
      <c r="D10" s="33"/>
      <c r="E10" s="33"/>
      <c r="F10" s="33"/>
      <c r="G10" s="33"/>
      <c r="H10" s="33"/>
      <c r="I10" s="43" t="s">
        <v>177</v>
      </c>
      <c r="K10" s="33"/>
      <c r="L10" s="33"/>
      <c r="M10" s="33"/>
      <c r="N10" s="33"/>
      <c r="O10" s="33"/>
      <c r="P10" s="33"/>
      <c r="Q10" s="33"/>
      <c r="R10" s="33"/>
      <c r="S10" s="33">
        <v>25</v>
      </c>
      <c r="T10" s="32" t="s">
        <v>45</v>
      </c>
    </row>
    <row r="11" spans="1:20" x14ac:dyDescent="0.25">
      <c r="A11" s="25" t="s">
        <v>153</v>
      </c>
      <c r="B11" s="33">
        <v>57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>
        <v>24</v>
      </c>
      <c r="T11" s="32" t="s">
        <v>46</v>
      </c>
    </row>
    <row r="12" spans="1:20" x14ac:dyDescent="0.25">
      <c r="A12" s="25" t="s">
        <v>154</v>
      </c>
      <c r="B12" s="33">
        <v>58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>
        <v>23</v>
      </c>
      <c r="T12" s="32" t="s">
        <v>47</v>
      </c>
    </row>
    <row r="13" spans="1:20" x14ac:dyDescent="0.25">
      <c r="A13" s="5" t="s">
        <v>18</v>
      </c>
      <c r="B13" s="33">
        <v>59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>
        <v>22</v>
      </c>
      <c r="T13" s="32" t="s">
        <v>48</v>
      </c>
    </row>
    <row r="14" spans="1:20" x14ac:dyDescent="0.25">
      <c r="A14" s="5" t="s">
        <v>138</v>
      </c>
      <c r="B14" s="33">
        <v>60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>
        <v>21</v>
      </c>
      <c r="T14" s="32" t="s">
        <v>49</v>
      </c>
    </row>
    <row r="15" spans="1:20" x14ac:dyDescent="0.25">
      <c r="A15" s="28" t="s">
        <v>171</v>
      </c>
      <c r="B15" s="33">
        <v>61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>
        <v>20</v>
      </c>
      <c r="T15" s="32" t="s">
        <v>38</v>
      </c>
    </row>
    <row r="16" spans="1:20" x14ac:dyDescent="0.25">
      <c r="A16" s="28" t="s">
        <v>172</v>
      </c>
      <c r="B16" s="33">
        <v>62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>
        <v>19</v>
      </c>
      <c r="T16" s="9" t="s">
        <v>83</v>
      </c>
    </row>
    <row r="17" spans="1:20" x14ac:dyDescent="0.25">
      <c r="A17" s="11" t="s">
        <v>81</v>
      </c>
      <c r="B17" s="33">
        <v>63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>
        <v>18</v>
      </c>
      <c r="T17" s="9" t="s">
        <v>84</v>
      </c>
    </row>
    <row r="18" spans="1:20" x14ac:dyDescent="0.25">
      <c r="A18" s="11" t="s">
        <v>80</v>
      </c>
      <c r="B18" s="33">
        <v>64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>
        <v>17</v>
      </c>
      <c r="T18" s="32" t="s">
        <v>37</v>
      </c>
    </row>
    <row r="19" spans="1:20" x14ac:dyDescent="0.25">
      <c r="A19" s="33"/>
      <c r="B19" s="33"/>
      <c r="C19" s="33">
        <v>1</v>
      </c>
      <c r="D19" s="33">
        <v>2</v>
      </c>
      <c r="E19" s="33">
        <v>3</v>
      </c>
      <c r="F19" s="33">
        <v>4</v>
      </c>
      <c r="G19" s="33">
        <v>5</v>
      </c>
      <c r="H19" s="33">
        <v>6</v>
      </c>
      <c r="I19" s="33">
        <v>7</v>
      </c>
      <c r="J19" s="33">
        <v>8</v>
      </c>
      <c r="K19" s="33">
        <v>9</v>
      </c>
      <c r="L19" s="33">
        <v>10</v>
      </c>
      <c r="M19" s="33">
        <v>11</v>
      </c>
      <c r="N19" s="33">
        <v>12</v>
      </c>
      <c r="O19" s="33">
        <v>13</v>
      </c>
      <c r="P19" s="33">
        <v>14</v>
      </c>
      <c r="Q19" s="33">
        <v>15</v>
      </c>
      <c r="R19" s="33">
        <v>16</v>
      </c>
      <c r="S19" s="33"/>
      <c r="T19" s="33"/>
    </row>
    <row r="20" spans="1:20" ht="55.5" x14ac:dyDescent="0.25">
      <c r="A20" s="33"/>
      <c r="B20" s="33"/>
      <c r="C20" s="8" t="s">
        <v>80</v>
      </c>
      <c r="D20" s="30" t="s">
        <v>5</v>
      </c>
      <c r="E20" s="30" t="s">
        <v>6</v>
      </c>
      <c r="F20" s="30" t="s">
        <v>7</v>
      </c>
      <c r="G20" s="30" t="s">
        <v>8</v>
      </c>
      <c r="H20" s="30" t="s">
        <v>9</v>
      </c>
      <c r="I20" s="8" t="s">
        <v>155</v>
      </c>
      <c r="J20" s="12" t="s">
        <v>28</v>
      </c>
      <c r="K20" s="12" t="s">
        <v>29</v>
      </c>
      <c r="L20" s="12" t="s">
        <v>30</v>
      </c>
      <c r="M20" s="12" t="s">
        <v>31</v>
      </c>
      <c r="N20" s="8" t="s">
        <v>156</v>
      </c>
      <c r="O20" s="8" t="s">
        <v>157</v>
      </c>
      <c r="P20" s="12" t="s">
        <v>34</v>
      </c>
      <c r="Q20" s="12" t="s">
        <v>35</v>
      </c>
      <c r="R20" s="12" t="s">
        <v>36</v>
      </c>
      <c r="S20" s="33"/>
      <c r="T20" s="33"/>
    </row>
    <row r="21" spans="1:20" x14ac:dyDescent="0.25">
      <c r="A21" s="1" t="s">
        <v>133</v>
      </c>
      <c r="B21" s="1">
        <v>64</v>
      </c>
      <c r="C21" s="1"/>
    </row>
    <row r="22" spans="1:20" x14ac:dyDescent="0.25">
      <c r="A22" s="34" t="s">
        <v>27</v>
      </c>
      <c r="B22" s="1">
        <f>COUNTIF(A1:T20, "*(AN)*")</f>
        <v>18</v>
      </c>
      <c r="C22" s="1"/>
    </row>
    <row r="23" spans="1:20" x14ac:dyDescent="0.25">
      <c r="A23" s="13" t="s">
        <v>26</v>
      </c>
      <c r="B23" s="1">
        <f>COUNTIF(A1:T20, "*(GTO)*")</f>
        <v>0</v>
      </c>
      <c r="C23" s="1"/>
    </row>
    <row r="24" spans="1:20" x14ac:dyDescent="0.25">
      <c r="A24" s="36" t="s">
        <v>126</v>
      </c>
      <c r="B24" s="1">
        <f>COUNTIF(A1:T20,"*PMBus*")</f>
        <v>7</v>
      </c>
      <c r="C24" s="1"/>
    </row>
    <row r="25" spans="1:20" x14ac:dyDescent="0.25">
      <c r="A25" s="38" t="s">
        <v>85</v>
      </c>
      <c r="B25" s="1">
        <f>COUNTIF(A1:T20, "*(SYS)*")</f>
        <v>13</v>
      </c>
      <c r="C25" s="1"/>
    </row>
    <row r="26" spans="1:20" x14ac:dyDescent="0.25">
      <c r="A26" s="1" t="s">
        <v>174</v>
      </c>
      <c r="B26" s="1">
        <f>B22</f>
        <v>18</v>
      </c>
      <c r="C26" s="1"/>
    </row>
    <row r="27" spans="1:20" x14ac:dyDescent="0.25">
      <c r="A27" s="1" t="s">
        <v>178</v>
      </c>
      <c r="B27" s="1">
        <f>B21-SUM(B22:B26)</f>
        <v>8</v>
      </c>
      <c r="C27" s="1"/>
    </row>
    <row r="28" spans="1:20" x14ac:dyDescent="0.25">
      <c r="A28" s="1"/>
      <c r="B28" s="1"/>
      <c r="C28" s="1"/>
    </row>
    <row r="29" spans="1:20" x14ac:dyDescent="0.25">
      <c r="A29" s="37" t="s">
        <v>158</v>
      </c>
      <c r="B29" s="1">
        <f>COUNTIF(A1:T20,"*(JTAG)*")</f>
        <v>6</v>
      </c>
      <c r="C29" s="1"/>
    </row>
    <row r="30" spans="1:20" x14ac:dyDescent="0.25">
      <c r="A30" s="1"/>
      <c r="B30" s="1"/>
      <c r="C30" s="1"/>
    </row>
    <row r="31" spans="1:20" x14ac:dyDescent="0.25">
      <c r="A31" s="1"/>
      <c r="B31" s="1"/>
      <c r="C31" s="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4661-247D-4F62-86E7-87D61EFD75D3}">
  <dimension ref="A1:T31"/>
  <sheetViews>
    <sheetView topLeftCell="A5" workbookViewId="0">
      <selection activeCell="A28" sqref="A28"/>
    </sheetView>
  </sheetViews>
  <sheetFormatPr defaultRowHeight="15" x14ac:dyDescent="0.25"/>
  <cols>
    <col min="1" max="1" width="18.28515625" bestFit="1" customWidth="1"/>
    <col min="2" max="19" width="2.85546875" customWidth="1"/>
  </cols>
  <sheetData>
    <row r="1" spans="1:20" ht="96.75" x14ac:dyDescent="0.25">
      <c r="A1" s="33"/>
      <c r="B1" s="33"/>
      <c r="C1" s="10" t="s">
        <v>80</v>
      </c>
      <c r="D1" s="10" t="s">
        <v>81</v>
      </c>
      <c r="E1" s="27" t="s">
        <v>112</v>
      </c>
      <c r="F1" s="2" t="s">
        <v>0</v>
      </c>
      <c r="G1" s="35" t="s">
        <v>134</v>
      </c>
      <c r="H1" s="35" t="s">
        <v>135</v>
      </c>
      <c r="I1" s="35" t="s">
        <v>136</v>
      </c>
      <c r="J1" s="35" t="s">
        <v>137</v>
      </c>
      <c r="K1" s="16" t="s">
        <v>71</v>
      </c>
      <c r="L1" s="16" t="s">
        <v>72</v>
      </c>
      <c r="M1" s="16" t="s">
        <v>73</v>
      </c>
      <c r="N1" s="16" t="s">
        <v>160</v>
      </c>
      <c r="O1" s="16" t="s">
        <v>59</v>
      </c>
      <c r="P1" s="16" t="s">
        <v>57</v>
      </c>
      <c r="Q1" s="16" t="s">
        <v>115</v>
      </c>
      <c r="R1" s="16" t="s">
        <v>69</v>
      </c>
      <c r="S1" s="33"/>
      <c r="T1" s="33"/>
    </row>
    <row r="2" spans="1:20" x14ac:dyDescent="0.25">
      <c r="A2" s="33"/>
      <c r="B2" s="33"/>
      <c r="C2" s="33">
        <v>48</v>
      </c>
      <c r="D2" s="33">
        <v>47</v>
      </c>
      <c r="E2" s="33">
        <v>46</v>
      </c>
      <c r="F2" s="33">
        <v>45</v>
      </c>
      <c r="G2" s="33">
        <v>44</v>
      </c>
      <c r="H2" s="33">
        <v>43</v>
      </c>
      <c r="I2" s="33">
        <v>42</v>
      </c>
      <c r="J2" s="33">
        <v>41</v>
      </c>
      <c r="K2" s="33">
        <v>40</v>
      </c>
      <c r="L2" s="33">
        <v>39</v>
      </c>
      <c r="M2" s="33">
        <v>38</v>
      </c>
      <c r="N2" s="33">
        <v>37</v>
      </c>
      <c r="O2" s="33">
        <v>36</v>
      </c>
      <c r="P2" s="33">
        <v>35</v>
      </c>
      <c r="Q2" s="33">
        <v>34</v>
      </c>
      <c r="R2" s="33">
        <v>33</v>
      </c>
      <c r="S2" s="33"/>
      <c r="T2" s="33"/>
    </row>
    <row r="3" spans="1:20" x14ac:dyDescent="0.25">
      <c r="A3" s="28" t="s">
        <v>110</v>
      </c>
      <c r="B3" s="33">
        <v>49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>
        <v>32</v>
      </c>
      <c r="T3" s="9" t="s">
        <v>80</v>
      </c>
    </row>
    <row r="4" spans="1:20" x14ac:dyDescent="0.25">
      <c r="A4" s="28" t="s">
        <v>128</v>
      </c>
      <c r="B4" s="33">
        <v>50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>
        <v>31</v>
      </c>
      <c r="T4" s="9" t="s">
        <v>81</v>
      </c>
    </row>
    <row r="5" spans="1:20" x14ac:dyDescent="0.25">
      <c r="A5" s="25" t="s">
        <v>148</v>
      </c>
      <c r="B5" s="33">
        <v>51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>
        <v>30</v>
      </c>
      <c r="T5" s="9" t="s">
        <v>82</v>
      </c>
    </row>
    <row r="6" spans="1:20" x14ac:dyDescent="0.25">
      <c r="A6" s="25" t="s">
        <v>149</v>
      </c>
      <c r="B6" s="33">
        <v>52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>
        <v>29</v>
      </c>
      <c r="T6" s="39" t="s">
        <v>169</v>
      </c>
    </row>
    <row r="7" spans="1:20" x14ac:dyDescent="0.25">
      <c r="A7" s="25" t="s">
        <v>150</v>
      </c>
      <c r="B7" s="33">
        <v>53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>
        <v>28</v>
      </c>
      <c r="T7" s="39" t="s">
        <v>170</v>
      </c>
    </row>
    <row r="8" spans="1:20" x14ac:dyDescent="0.25">
      <c r="A8" s="25" t="s">
        <v>151</v>
      </c>
      <c r="B8" s="33">
        <v>54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>
        <v>27</v>
      </c>
      <c r="T8" s="32" t="s">
        <v>43</v>
      </c>
    </row>
    <row r="9" spans="1:20" x14ac:dyDescent="0.25">
      <c r="A9" s="28" t="s">
        <v>159</v>
      </c>
      <c r="B9" s="33">
        <v>55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>
        <v>26</v>
      </c>
      <c r="T9" s="32" t="s">
        <v>44</v>
      </c>
    </row>
    <row r="10" spans="1:20" x14ac:dyDescent="0.25">
      <c r="A10" s="25" t="s">
        <v>152</v>
      </c>
      <c r="B10" s="33">
        <v>56</v>
      </c>
      <c r="C10" s="33"/>
      <c r="D10" s="33"/>
      <c r="E10" s="33"/>
      <c r="F10" s="33"/>
      <c r="G10" s="33"/>
      <c r="H10" s="33"/>
      <c r="I10" s="43" t="s">
        <v>177</v>
      </c>
      <c r="J10" s="33"/>
      <c r="K10" s="33"/>
      <c r="L10" s="33"/>
      <c r="M10" s="33"/>
      <c r="N10" s="33"/>
      <c r="O10" s="33"/>
      <c r="P10" s="33"/>
      <c r="Q10" s="33"/>
      <c r="R10" s="33"/>
      <c r="S10" s="33">
        <v>25</v>
      </c>
      <c r="T10" s="32" t="s">
        <v>45</v>
      </c>
    </row>
    <row r="11" spans="1:20" x14ac:dyDescent="0.25">
      <c r="A11" s="25" t="s">
        <v>153</v>
      </c>
      <c r="B11" s="33">
        <v>57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>
        <v>24</v>
      </c>
      <c r="T11" s="32" t="s">
        <v>46</v>
      </c>
    </row>
    <row r="12" spans="1:20" x14ac:dyDescent="0.25">
      <c r="A12" s="25" t="s">
        <v>154</v>
      </c>
      <c r="B12" s="33">
        <v>58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>
        <v>23</v>
      </c>
      <c r="T12" s="32" t="s">
        <v>47</v>
      </c>
    </row>
    <row r="13" spans="1:20" x14ac:dyDescent="0.25">
      <c r="A13" s="5" t="s">
        <v>18</v>
      </c>
      <c r="B13" s="33">
        <v>59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>
        <v>22</v>
      </c>
      <c r="T13" s="32" t="s">
        <v>48</v>
      </c>
    </row>
    <row r="14" spans="1:20" x14ac:dyDescent="0.25">
      <c r="A14" s="5" t="s">
        <v>138</v>
      </c>
      <c r="B14" s="33">
        <v>60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>
        <v>21</v>
      </c>
      <c r="T14" s="32" t="s">
        <v>49</v>
      </c>
    </row>
    <row r="15" spans="1:20" x14ac:dyDescent="0.25">
      <c r="A15" s="28" t="s">
        <v>171</v>
      </c>
      <c r="B15" s="33">
        <v>61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>
        <v>20</v>
      </c>
      <c r="T15" s="32" t="s">
        <v>38</v>
      </c>
    </row>
    <row r="16" spans="1:20" x14ac:dyDescent="0.25">
      <c r="A16" s="28" t="s">
        <v>172</v>
      </c>
      <c r="B16" s="33">
        <v>62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>
        <v>19</v>
      </c>
      <c r="T16" s="9" t="s">
        <v>83</v>
      </c>
    </row>
    <row r="17" spans="1:20" x14ac:dyDescent="0.25">
      <c r="A17" s="11" t="s">
        <v>81</v>
      </c>
      <c r="B17" s="33">
        <v>63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>
        <v>18</v>
      </c>
      <c r="T17" s="9" t="s">
        <v>84</v>
      </c>
    </row>
    <row r="18" spans="1:20" x14ac:dyDescent="0.25">
      <c r="A18" s="11" t="s">
        <v>80</v>
      </c>
      <c r="B18" s="33">
        <v>64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>
        <v>17</v>
      </c>
      <c r="T18" s="32" t="s">
        <v>37</v>
      </c>
    </row>
    <row r="19" spans="1:20" x14ac:dyDescent="0.25">
      <c r="A19" s="33"/>
      <c r="B19" s="33"/>
      <c r="C19" s="33">
        <v>1</v>
      </c>
      <c r="D19" s="33">
        <v>2</v>
      </c>
      <c r="E19" s="33">
        <v>3</v>
      </c>
      <c r="F19" s="33">
        <v>4</v>
      </c>
      <c r="G19" s="33">
        <v>5</v>
      </c>
      <c r="H19" s="33">
        <v>6</v>
      </c>
      <c r="I19" s="33">
        <v>7</v>
      </c>
      <c r="J19" s="33">
        <v>8</v>
      </c>
      <c r="K19" s="33">
        <v>9</v>
      </c>
      <c r="L19" s="33">
        <v>10</v>
      </c>
      <c r="M19" s="33">
        <v>11</v>
      </c>
      <c r="N19" s="33">
        <v>12</v>
      </c>
      <c r="O19" s="33">
        <v>13</v>
      </c>
      <c r="P19" s="33">
        <v>14</v>
      </c>
      <c r="Q19" s="33">
        <v>15</v>
      </c>
      <c r="R19" s="33">
        <v>16</v>
      </c>
      <c r="S19" s="33"/>
      <c r="T19" s="33"/>
    </row>
    <row r="20" spans="1:20" ht="55.5" x14ac:dyDescent="0.25">
      <c r="A20" s="33"/>
      <c r="B20" s="33"/>
      <c r="C20" s="8" t="s">
        <v>80</v>
      </c>
      <c r="D20" s="30" t="s">
        <v>5</v>
      </c>
      <c r="E20" s="30" t="s">
        <v>6</v>
      </c>
      <c r="F20" s="30" t="s">
        <v>7</v>
      </c>
      <c r="G20" s="30" t="s">
        <v>8</v>
      </c>
      <c r="H20" s="30" t="s">
        <v>9</v>
      </c>
      <c r="I20" s="8" t="s">
        <v>155</v>
      </c>
      <c r="J20" s="12" t="s">
        <v>28</v>
      </c>
      <c r="K20" s="12" t="s">
        <v>29</v>
      </c>
      <c r="L20" s="12" t="s">
        <v>30</v>
      </c>
      <c r="M20" s="12" t="s">
        <v>31</v>
      </c>
      <c r="N20" s="8" t="s">
        <v>156</v>
      </c>
      <c r="O20" s="8" t="s">
        <v>157</v>
      </c>
      <c r="P20" s="12" t="s">
        <v>34</v>
      </c>
      <c r="Q20" s="12" t="s">
        <v>35</v>
      </c>
      <c r="R20" s="12" t="s">
        <v>36</v>
      </c>
      <c r="S20" s="33"/>
      <c r="T20" s="33"/>
    </row>
    <row r="21" spans="1:20" x14ac:dyDescent="0.25">
      <c r="A21" s="1" t="s">
        <v>133</v>
      </c>
      <c r="B21" s="1">
        <v>64</v>
      </c>
      <c r="C21" s="1"/>
    </row>
    <row r="22" spans="1:20" x14ac:dyDescent="0.25">
      <c r="A22" s="34" t="s">
        <v>27</v>
      </c>
      <c r="B22" s="1">
        <f>COUNTIF(A1:T20, "*(AN)*")</f>
        <v>16</v>
      </c>
      <c r="C22" s="1"/>
    </row>
    <row r="23" spans="1:20" x14ac:dyDescent="0.25">
      <c r="A23" s="13" t="s">
        <v>26</v>
      </c>
      <c r="B23" s="1">
        <f>COUNTIF(A1:T20, "*(GTO)*")</f>
        <v>8</v>
      </c>
      <c r="C23" s="1"/>
    </row>
    <row r="24" spans="1:20" x14ac:dyDescent="0.25">
      <c r="A24" s="36" t="s">
        <v>126</v>
      </c>
      <c r="B24" s="1">
        <f>COUNTIF(A1:T20,"*PMBus*")</f>
        <v>7</v>
      </c>
      <c r="C24" s="1"/>
    </row>
    <row r="25" spans="1:20" x14ac:dyDescent="0.25">
      <c r="A25" s="38" t="s">
        <v>85</v>
      </c>
      <c r="B25" s="1">
        <f>COUNTIF(A1:T20, "*(SYS)*")</f>
        <v>13</v>
      </c>
      <c r="C25" s="1"/>
    </row>
    <row r="26" spans="1:20" x14ac:dyDescent="0.25">
      <c r="A26" s="1" t="s">
        <v>175</v>
      </c>
      <c r="B26" s="1">
        <f>B22</f>
        <v>16</v>
      </c>
      <c r="C26" s="1"/>
    </row>
    <row r="27" spans="1:20" x14ac:dyDescent="0.25">
      <c r="A27" s="1" t="s">
        <v>179</v>
      </c>
      <c r="B27" s="1">
        <f>B21-SUM(B22:B26)</f>
        <v>4</v>
      </c>
      <c r="C27" s="1"/>
    </row>
    <row r="28" spans="1:20" x14ac:dyDescent="0.25">
      <c r="A28" s="1"/>
      <c r="B28" s="1"/>
      <c r="C28" s="1"/>
    </row>
    <row r="29" spans="1:20" x14ac:dyDescent="0.25">
      <c r="A29" s="37" t="s">
        <v>158</v>
      </c>
      <c r="B29" s="1">
        <f>COUNTIF(A1:T20,"*(JTAG)*")</f>
        <v>6</v>
      </c>
      <c r="C29" s="1"/>
    </row>
    <row r="30" spans="1:20" x14ac:dyDescent="0.25">
      <c r="A30" s="1"/>
      <c r="B30" s="1"/>
      <c r="C30" s="1"/>
    </row>
    <row r="31" spans="1:20" x14ac:dyDescent="0.25">
      <c r="A31" s="1"/>
      <c r="B31" s="1"/>
      <c r="C3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 Base</vt:lpstr>
      <vt:lpstr>64 Base</vt:lpstr>
      <vt:lpstr>100 #1</vt:lpstr>
      <vt:lpstr>100 #2</vt:lpstr>
      <vt:lpstr>64 #1</vt:lpstr>
      <vt:lpstr>64 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Takuya Katayama</dc:creator>
  <cp:lastModifiedBy>Takuya Katayama</cp:lastModifiedBy>
  <dcterms:created xsi:type="dcterms:W3CDTF">2026-09-22T20:50:03Z</dcterms:created>
  <dcterms:modified xsi:type="dcterms:W3CDTF">2026-10-27T20:59:31Z</dcterms:modified>
</cp:coreProperties>
</file>