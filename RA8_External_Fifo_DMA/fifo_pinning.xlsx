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ects (repos)\RA8_Extarnal_Fifo_DMA\"/>
    </mc:Choice>
  </mc:AlternateContent>
  <xr:revisionPtr revIDLastSave="0" documentId="13_ncr:1_{B836953B-4487-4B8B-9D63-38712CE5E40B}" xr6:coauthVersionLast="47" xr6:coauthVersionMax="47" xr10:uidLastSave="{00000000-0000-0000-0000-000000000000}"/>
  <bookViews>
    <workbookView xWindow="-28455" yWindow="480" windowWidth="18900" windowHeight="14850" activeTab="1" xr2:uid="{B89F7924-E744-4884-BE21-764F900A3266}"/>
  </bookViews>
  <sheets>
    <sheet name="RA8M1 EK" sheetId="1" r:id="rId1"/>
    <sheet name="Sheet1" sheetId="2" r:id="rId2"/>
  </sheets>
  <definedNames>
    <definedName name="_xlnm._FilterDatabase" localSheetId="0" hidden="1">'RA8M1 EK'!$A$1:$AW$225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</calcChain>
</file>

<file path=xl/sharedStrings.xml><?xml version="1.0" encoding="utf-8"?>
<sst xmlns="http://schemas.openxmlformats.org/spreadsheetml/2006/main" count="2459" uniqueCount="1284">
  <si>
    <t>Name</t>
  </si>
  <si>
    <t>Pin</t>
  </si>
  <si>
    <t>Function</t>
  </si>
  <si>
    <t>Power, Clock, Debug, System</t>
  </si>
  <si>
    <t>GPT</t>
  </si>
  <si>
    <t>AGT</t>
  </si>
  <si>
    <t>ETHER_RMII</t>
  </si>
  <si>
    <t>IRQ</t>
  </si>
  <si>
    <t>GPT_OPS</t>
  </si>
  <si>
    <t>BUS</t>
  </si>
  <si>
    <t>SDRAM</t>
  </si>
  <si>
    <t>ULPT</t>
  </si>
  <si>
    <t>ETHER_MII</t>
  </si>
  <si>
    <t>SDHI</t>
  </si>
  <si>
    <t>SCI</t>
  </si>
  <si>
    <t>USB HS</t>
  </si>
  <si>
    <t>ADC(Digital)</t>
  </si>
  <si>
    <t>CANFD</t>
  </si>
  <si>
    <t>SPI</t>
  </si>
  <si>
    <t>USB FS</t>
  </si>
  <si>
    <t>SSIE</t>
  </si>
  <si>
    <t>CAC</t>
  </si>
  <si>
    <t>IIC</t>
  </si>
  <si>
    <t>CLKOUT</t>
  </si>
  <si>
    <t>CEU</t>
  </si>
  <si>
    <t>JTAG/SWD</t>
  </si>
  <si>
    <t>RTC</t>
  </si>
  <si>
    <t>GPT_POEGA</t>
  </si>
  <si>
    <t>GPT_POEGC</t>
  </si>
  <si>
    <t>GPT_POEGB</t>
  </si>
  <si>
    <t>GPT_POEGD</t>
  </si>
  <si>
    <t>OSPI</t>
  </si>
  <si>
    <t>ADC</t>
  </si>
  <si>
    <t>ACMPHS</t>
  </si>
  <si>
    <t>DAC</t>
  </si>
  <si>
    <t>I3C</t>
  </si>
  <si>
    <t>Symbolic Name</t>
  </si>
  <si>
    <t>Drive Capacity</t>
  </si>
  <si>
    <t>Mode</t>
  </si>
  <si>
    <t>Output type</t>
  </si>
  <si>
    <t>Pull up</t>
  </si>
  <si>
    <t>Port Capabilities</t>
  </si>
  <si>
    <t>Pin Function Comment</t>
  </si>
  <si>
    <t>Direction</t>
  </si>
  <si>
    <t>Remarks</t>
  </si>
  <si>
    <t>Pin Number Comment</t>
  </si>
  <si>
    <t>AVCC0</t>
  </si>
  <si>
    <t>N8</t>
  </si>
  <si>
    <t>SYSTEM_AVCC0</t>
  </si>
  <si>
    <t>IO</t>
  </si>
  <si>
    <t>Read only</t>
  </si>
  <si>
    <t>AVCC_USBHS</t>
  </si>
  <si>
    <t>H13</t>
  </si>
  <si>
    <t>SYSTEM_AVCC_USBHS</t>
  </si>
  <si>
    <t>AVSS0</t>
  </si>
  <si>
    <t>N9</t>
  </si>
  <si>
    <t>SYSTEM_AVSS0</t>
  </si>
  <si>
    <t>P000</t>
  </si>
  <si>
    <t>R13</t>
  </si>
  <si>
    <t>GPIO</t>
  </si>
  <si>
    <t>IRQ6-DS</t>
  </si>
  <si>
    <t>AN100</t>
  </si>
  <si>
    <t>IVCMP1_2</t>
  </si>
  <si>
    <t>ENET_RMII_INT</t>
  </si>
  <si>
    <t>None</t>
  </si>
  <si>
    <t>Input mode</t>
  </si>
  <si>
    <t>ACMPHS1: IVCMP1_2
ADC1: AN100
IRQ6: IRQ6-DS</t>
  </si>
  <si>
    <t>P001</t>
  </si>
  <si>
    <t>P12</t>
  </si>
  <si>
    <t>IRQ7-DS</t>
  </si>
  <si>
    <t>AN101</t>
  </si>
  <si>
    <t>IVREF_0</t>
  </si>
  <si>
    <t>ARDUINO_A3</t>
  </si>
  <si>
    <t>Disabled</t>
  </si>
  <si>
    <t>ACMPHS0: IVREF_0
ADC1: AN101
IRQ7: IRQ7-DS</t>
  </si>
  <si>
    <t>P002</t>
  </si>
  <si>
    <t>R12</t>
  </si>
  <si>
    <t>ADC1_AN102</t>
  </si>
  <si>
    <t>IRQ8-DS</t>
  </si>
  <si>
    <t>AN102</t>
  </si>
  <si>
    <t>IVCMP1_3</t>
  </si>
  <si>
    <t>GROVE2_AN102</t>
  </si>
  <si>
    <t>Analog mode</t>
  </si>
  <si>
    <t>ACMPHS1: IVCMP1_3
ADC1: AN102
IRQ8: IRQ8-DS</t>
  </si>
  <si>
    <t>I</t>
  </si>
  <si>
    <t>P003</t>
  </si>
  <si>
    <t>P11</t>
  </si>
  <si>
    <t>ADC1_AN104</t>
  </si>
  <si>
    <t>AN104</t>
  </si>
  <si>
    <t>IVREF_1</t>
  </si>
  <si>
    <t>ARDUINO_A1</t>
  </si>
  <si>
    <t>ACMPHS1: IVREF_1
ADC1: AN104</t>
  </si>
  <si>
    <t>P004</t>
  </si>
  <si>
    <t>P10</t>
  </si>
  <si>
    <t>ADC0_AN000</t>
  </si>
  <si>
    <t>IRQ9-DS</t>
  </si>
  <si>
    <t>AN000</t>
  </si>
  <si>
    <t>IVCMP0_2</t>
  </si>
  <si>
    <t>ARDUINO_A0_MIKROBUS_AN000</t>
  </si>
  <si>
    <t>ACMPHS0: IVCMP0_2
ADC0: AN000
IRQ9: IRQ9-DS</t>
  </si>
  <si>
    <t>P005</t>
  </si>
  <si>
    <t>N10</t>
  </si>
  <si>
    <t>ADC0_AN001</t>
  </si>
  <si>
    <t>IRQ10-DS</t>
  </si>
  <si>
    <t>AN001</t>
  </si>
  <si>
    <t>GROVE2_AN001</t>
  </si>
  <si>
    <t>ADC0: AN001
IRQ10: IRQ10-DS</t>
  </si>
  <si>
    <t>P006</t>
  </si>
  <si>
    <t>R11</t>
  </si>
  <si>
    <t>IRQ11-DS</t>
  </si>
  <si>
    <t>AN002</t>
  </si>
  <si>
    <t>IVCMP0_3</t>
  </si>
  <si>
    <t>PMOD1_IRQ11</t>
  </si>
  <si>
    <t>ACMPHS0: IVCMP0_3
ADC0: AN002
IRQ11: IRQ11-DS</t>
  </si>
  <si>
    <t>P007</t>
  </si>
  <si>
    <t>M10</t>
  </si>
  <si>
    <t>ADC0_AN004</t>
  </si>
  <si>
    <t>AN004</t>
  </si>
  <si>
    <t>ARDUINO_A004</t>
  </si>
  <si>
    <t>ADC0: AN004</t>
  </si>
  <si>
    <t>P008</t>
  </si>
  <si>
    <t>R10</t>
  </si>
  <si>
    <t>IRQ12_IRQ12-DS</t>
  </si>
  <si>
    <t>IRQ12-DS</t>
  </si>
  <si>
    <t>AN008</t>
  </si>
  <si>
    <t>USER_S2</t>
  </si>
  <si>
    <t>IRQ mode</t>
  </si>
  <si>
    <t>ADC0: AN008
IRQ12: IRQ12-DS</t>
  </si>
  <si>
    <t>P009</t>
  </si>
  <si>
    <t>L9</t>
  </si>
  <si>
    <t>IRQ13_IRQ13-DS</t>
  </si>
  <si>
    <t>IRQ13-DS</t>
  </si>
  <si>
    <t>AN006</t>
  </si>
  <si>
    <t>USER_S1</t>
  </si>
  <si>
    <t>ADC0: AN006
IRQ13: IRQ13-DS</t>
  </si>
  <si>
    <t>P010</t>
  </si>
  <si>
    <t>M8</t>
  </si>
  <si>
    <t>IRQ14</t>
  </si>
  <si>
    <t>AN005</t>
  </si>
  <si>
    <t>IVCMP0_0</t>
  </si>
  <si>
    <t>MIKROBUS_IRQ14</t>
  </si>
  <si>
    <t>ACMPHS0: IVCMP0_0
ADC0: AN005
IRQ14: IRQ14</t>
  </si>
  <si>
    <t>P011</t>
  </si>
  <si>
    <t>M9</t>
  </si>
  <si>
    <t>ADC1_AN106</t>
  </si>
  <si>
    <t>AN106</t>
  </si>
  <si>
    <t>ADC1: AN106</t>
  </si>
  <si>
    <t>P014</t>
  </si>
  <si>
    <t>P7</t>
  </si>
  <si>
    <t>ADC0_AN007</t>
  </si>
  <si>
    <t>AN007</t>
  </si>
  <si>
    <t>DA0</t>
  </si>
  <si>
    <t>ARDUINO_A4</t>
  </si>
  <si>
    <t>ADC0: AN007
DAC120: DA0</t>
  </si>
  <si>
    <t>P015</t>
  </si>
  <si>
    <t>R7</t>
  </si>
  <si>
    <t>ADC1_AN105</t>
  </si>
  <si>
    <t>IRQ13</t>
  </si>
  <si>
    <t>AN105</t>
  </si>
  <si>
    <t>DA1</t>
  </si>
  <si>
    <t>ARDUINO_A5</t>
  </si>
  <si>
    <t>ADC1: AN105
DAC121: DA1
IRQ13: IRQ13</t>
  </si>
  <si>
    <t>P100</t>
  </si>
  <si>
    <t>N1</t>
  </si>
  <si>
    <t>OSPI_OM_SIO0</t>
  </si>
  <si>
    <t>GTIOC8B</t>
  </si>
  <si>
    <t>AGTIO0</t>
  </si>
  <si>
    <t>IRQ2</t>
  </si>
  <si>
    <t>DE9/SCK9</t>
  </si>
  <si>
    <t>MISO1</t>
  </si>
  <si>
    <t>GTETRGA</t>
  </si>
  <si>
    <t>OM_SIO0</t>
  </si>
  <si>
    <t>OSPI_DQ0</t>
  </si>
  <si>
    <t>HH</t>
  </si>
  <si>
    <t>Peripheral mode</t>
  </si>
  <si>
    <t>AGT0: AGTIO0
GPT8: GTIOC8B
GPT_POEGA: GTETRGA
IRQ2: IRQ2
OSPI: OM_SIO0
SCI9: DE9
SCI9: SCK9
SPI1: MISO1</t>
  </si>
  <si>
    <t>O</t>
  </si>
  <si>
    <t>P101</t>
  </si>
  <si>
    <t>M2</t>
  </si>
  <si>
    <t>OSPI_OM_SIO3</t>
  </si>
  <si>
    <t>GTIOC8A</t>
  </si>
  <si>
    <t>AGTEE0</t>
  </si>
  <si>
    <t>IRQ1</t>
  </si>
  <si>
    <t>RXD9</t>
  </si>
  <si>
    <t>MOSI1</t>
  </si>
  <si>
    <t>GTETRGB</t>
  </si>
  <si>
    <t>OM_SIO3</t>
  </si>
  <si>
    <t>OSPI_DQ3</t>
  </si>
  <si>
    <t>AGT0: AGTEE0
GPT8: GTIOC8A
GPT_POEGB: GTETRGB
IRQ1: IRQ1
OSPI: OM_SIO3
SCI9: RXD9
SPI1: MOSI1</t>
  </si>
  <si>
    <t>P102</t>
  </si>
  <si>
    <t>M1</t>
  </si>
  <si>
    <t>OSPI_OM_SIO4</t>
  </si>
  <si>
    <t>GTIOC2B</t>
  </si>
  <si>
    <t>AGTO0</t>
  </si>
  <si>
    <t>GTOWLO</t>
  </si>
  <si>
    <t>TXD9</t>
  </si>
  <si>
    <t>ADTRG0</t>
  </si>
  <si>
    <t>CRX0</t>
  </si>
  <si>
    <t>RSPCK1</t>
  </si>
  <si>
    <t>OM_SIO4</t>
  </si>
  <si>
    <t>OSPI_DQ4</t>
  </si>
  <si>
    <t>ADC(Digital): ADTRG0
AGT0: AGTO0
CANFD0: CRX0
GPT2: GTIOC2B
GPT_OPS: GTOWLO
OSPI: OM_SIO4
SCI9: TXD9
SPI1: RSPCK1</t>
  </si>
  <si>
    <t>P103</t>
  </si>
  <si>
    <t>L2</t>
  </si>
  <si>
    <t>OSPI_OM_SIO2</t>
  </si>
  <si>
    <t>GTIOC2A</t>
  </si>
  <si>
    <t>GTOWUP</t>
  </si>
  <si>
    <t>CTS_RTS9/DE9</t>
  </si>
  <si>
    <t>CTX0</t>
  </si>
  <si>
    <t>SSLB0</t>
  </si>
  <si>
    <t>OM_SIO2</t>
  </si>
  <si>
    <t>OSPI_DQ2</t>
  </si>
  <si>
    <t>CANFD0: CTX0
GPT2: GTIOC2A
GPT_OPS: GTOWUP
OSPI: OM_SIO2
SCI9: CTS_RTS9
SCI9: DE9
SPI1: SSLB0</t>
  </si>
  <si>
    <t>P104</t>
  </si>
  <si>
    <t>L1</t>
  </si>
  <si>
    <t>OSPI_OM_CS1</t>
  </si>
  <si>
    <t>GTIOC1B</t>
  </si>
  <si>
    <t>CTS9</t>
  </si>
  <si>
    <t>SSLB1</t>
  </si>
  <si>
    <t>OM_CS1</t>
  </si>
  <si>
    <t>OSPI_CS</t>
  </si>
  <si>
    <t>H</t>
  </si>
  <si>
    <t>GPT1: GTIOC1B
GPT_POEGB: GTETRGB
IRQ1: IRQ1
OSPI: OM_CS1
SCI9: CTS9
SPI1: SSLB1</t>
  </si>
  <si>
    <t>P105</t>
  </si>
  <si>
    <t>L3</t>
  </si>
  <si>
    <t>OSPI_OM_ECSINT1</t>
  </si>
  <si>
    <t>GTIOC1A</t>
  </si>
  <si>
    <t>IRQ0</t>
  </si>
  <si>
    <t>ULPTO1_A-DS</t>
  </si>
  <si>
    <t>SSLB2</t>
  </si>
  <si>
    <t>OM_ECSINT1</t>
  </si>
  <si>
    <t>OSPI_INT</t>
  </si>
  <si>
    <t>L</t>
  </si>
  <si>
    <t>GPT1: GTIOC1A
IRQ0: IRQ0
OSPI: OM_ECSINT1
SPI1: SSLB2
ULPT1: ULPTO1_A-DS</t>
  </si>
  <si>
    <t>P106</t>
  </si>
  <si>
    <t>K2</t>
  </si>
  <si>
    <t>OSPI_OM_RESET</t>
  </si>
  <si>
    <t>AGTOB0</t>
  </si>
  <si>
    <t>ULPTEE1_A-DS</t>
  </si>
  <si>
    <t>SSLB3</t>
  </si>
  <si>
    <t>OM_RESET</t>
  </si>
  <si>
    <t>OSPI_RESET</t>
  </si>
  <si>
    <t>AGT0: AGTOB0
GPT8: GTIOC8B
GPT_OPS: GTOWLO
OSPI: OM_RESET
SPI1: SSLB3
ULPT1: ULPTEE1_A-DS</t>
  </si>
  <si>
    <t>P107</t>
  </si>
  <si>
    <t>K1</t>
  </si>
  <si>
    <t>AGTOA0</t>
  </si>
  <si>
    <t>OM_CS0</t>
  </si>
  <si>
    <t>LED3</t>
  </si>
  <si>
    <t>Output mode (Initial Low)</t>
  </si>
  <si>
    <t>AGT0: AGTOA0
GPT8: GTIOC8A
GPT_OPS: GTOWUP
OSPI: OM_CS0</t>
  </si>
  <si>
    <t>P112</t>
  </si>
  <si>
    <t>B2</t>
  </si>
  <si>
    <t>ETHER_RMII_RMII0_CRS_DV</t>
  </si>
  <si>
    <t>GTIOC3B</t>
  </si>
  <si>
    <t>RMII0_CRS_DV</t>
  </si>
  <si>
    <t>BC0/A0</t>
  </si>
  <si>
    <t>DQM1/A0</t>
  </si>
  <si>
    <t>ULPTOB0_A-DS</t>
  </si>
  <si>
    <t>ET0_CRS</t>
  </si>
  <si>
    <t>TXD0</t>
  </si>
  <si>
    <t>SSLA2</t>
  </si>
  <si>
    <t>SSISCK0</t>
  </si>
  <si>
    <t>ETH_A_RMII_RMII_RXDV</t>
  </si>
  <si>
    <t>BUS: A0
BUS: BC0
ETHER_MII: ET0_CRS
ETHER_RMII: RMII0_CRS_DV
GPT3: GTIOC3B
SCI0: TXD0
SDRAM: A0
SDRAM: DQM1
SPI0: SSLA2
SSIE0: SSISCK0
ULPT0: ULPTOB0_A-DS</t>
  </si>
  <si>
    <t>P113</t>
  </si>
  <si>
    <t>C3</t>
  </si>
  <si>
    <t>BUS_CS1#</t>
  </si>
  <si>
    <t>ET0_EXOUT</t>
  </si>
  <si>
    <t>CS1#</t>
  </si>
  <si>
    <t>CKE</t>
  </si>
  <si>
    <t>ULPTOA0_A-DS</t>
  </si>
  <si>
    <t>RXD0</t>
  </si>
  <si>
    <t>SSLA1</t>
  </si>
  <si>
    <t>SSIWS0</t>
  </si>
  <si>
    <t>M</t>
  </si>
  <si>
    <t>BUS: CS1#
ETHER_MII: ET0_EXOUT
ETHER_RMII: ET0_EXOUT
GPT2: GTIOC2A
SCI0: RXD0
SDRAM: CKE
SPI0: SSLA1
SSIE0: SSIWS0
ULPT0: ULPTOA0_A-DS</t>
  </si>
  <si>
    <t>P114</t>
  </si>
  <si>
    <t>C2</t>
  </si>
  <si>
    <t>ETHER_RMII_ET0_LINKSTA</t>
  </si>
  <si>
    <t>ET0_LINKSTA</t>
  </si>
  <si>
    <t>CS0#</t>
  </si>
  <si>
    <t>WE</t>
  </si>
  <si>
    <t>CTS_RTS0/DE0</t>
  </si>
  <si>
    <t>SSLA0</t>
  </si>
  <si>
    <t>SSIRXD0</t>
  </si>
  <si>
    <t>ETH_A_LINKSTA</t>
  </si>
  <si>
    <t>BUS: CS0#
ETHER_MII: ET0_LINKSTA
ETHER_RMII: ET0_LINKSTA
GPT2: GTIOC2B
SCI0: CTS_RTS0
SCI0: DE0
SDRAM: WE
SPI0: SSLA0
SSIE0: SSIRXD0</t>
  </si>
  <si>
    <t>P115</t>
  </si>
  <si>
    <t>D3</t>
  </si>
  <si>
    <t>GTIOC5A</t>
  </si>
  <si>
    <t>ET0_WOL</t>
  </si>
  <si>
    <t>SDCS</t>
  </si>
  <si>
    <t>CTS0</t>
  </si>
  <si>
    <t>MOSI0</t>
  </si>
  <si>
    <t>SSITXD0</t>
  </si>
  <si>
    <t>MPLX_CTRL</t>
  </si>
  <si>
    <t>ETHER_MII: ET0_WOL
ETHER_RMII: ET0_WOL
GPT5: GTIOC5A
SCI0: CTS0
SDRAM: SDCS
SPI0: MOSI0
SSIE0: SSITXD0</t>
  </si>
  <si>
    <t>P200</t>
  </si>
  <si>
    <t>B8</t>
  </si>
  <si>
    <t>NMI</t>
  </si>
  <si>
    <t>IRQ: NMI</t>
  </si>
  <si>
    <t>P201</t>
  </si>
  <si>
    <t>E9</t>
  </si>
  <si>
    <t>MD</t>
  </si>
  <si>
    <t>SYSTEM: MD</t>
  </si>
  <si>
    <t>P202</t>
  </si>
  <si>
    <t>A11</t>
  </si>
  <si>
    <t>GTIOC5B</t>
  </si>
  <si>
    <t>IRQ3-DS</t>
  </si>
  <si>
    <t>ULPTOB1</t>
  </si>
  <si>
    <t>SD0DAT6</t>
  </si>
  <si>
    <t>CANFD0: CRX0
GPT5: GTIOC5B
IRQ3: IRQ3-DS
SDHI0: SD0DAT6
SPI0: MOSI0
ULPT1: ULPTOB1</t>
  </si>
  <si>
    <t>P203</t>
  </si>
  <si>
    <t>B11</t>
  </si>
  <si>
    <t>IRQ2-DS</t>
  </si>
  <si>
    <t>ULPTOA1</t>
  </si>
  <si>
    <t>SD0DAT5</t>
  </si>
  <si>
    <t>RSPCK0</t>
  </si>
  <si>
    <t>CANFD0: CTX0
GPT5: GTIOC5A
IRQ2: IRQ2-DS
SDHI0: SD0DAT5
SPI0: RSPCK0
ULPT1: ULPTOA1</t>
  </si>
  <si>
    <t>P204</t>
  </si>
  <si>
    <t>A12</t>
  </si>
  <si>
    <t>GTIOC4B</t>
  </si>
  <si>
    <t>AGTIO1</t>
  </si>
  <si>
    <t>GTIW</t>
  </si>
  <si>
    <t>SD0DAT4</t>
  </si>
  <si>
    <t>DE4/SCK4</t>
  </si>
  <si>
    <t>USB_OVRCURB</t>
  </si>
  <si>
    <t>SSISCK1</t>
  </si>
  <si>
    <t>CACREF</t>
  </si>
  <si>
    <t>AGT1: AGTIO1
CAC: CACREF
GPT4: GTIOC4B
GPT_OPS: GTIW
SCI4: DE4
SCI4: SCK4
SDHI0: SD0DAT4
SPI0: SSLA0
SSIE1: SSISCK1
USB FS: USB_OVRCURB</t>
  </si>
  <si>
    <t>P205</t>
  </si>
  <si>
    <t>B12</t>
  </si>
  <si>
    <t>GTIOC4A</t>
  </si>
  <si>
    <t>AGTO1</t>
  </si>
  <si>
    <t>IRQ1-DS</t>
  </si>
  <si>
    <t>GTIV</t>
  </si>
  <si>
    <t>SD0DAT3</t>
  </si>
  <si>
    <t>TXD4</t>
  </si>
  <si>
    <t>USB_OVRCURA</t>
  </si>
  <si>
    <t>SSIWS1</t>
  </si>
  <si>
    <t>SCL1</t>
  </si>
  <si>
    <t>AGT1: AGTO1
CLKOUT: CLKOUT
GPT4: GTIOC4A
GPT_OPS: GTIV
IIC1: SCL1
IRQ1: IRQ1-DS
SCI4: TXD4
SDHI0: SD0DAT3
SPI0: SSLA1
SSIE1: SSIWS1
USB FS: USB_OVRCURA</t>
  </si>
  <si>
    <t>P206</t>
  </si>
  <si>
    <t>D11</t>
  </si>
  <si>
    <t>IRQ0-DS</t>
  </si>
  <si>
    <t>GTIU</t>
  </si>
  <si>
    <t>CS7#</t>
  </si>
  <si>
    <t>SD0DAT2</t>
  </si>
  <si>
    <t>RXD4</t>
  </si>
  <si>
    <t>USB_VBUSEN</t>
  </si>
  <si>
    <t>SSIDATA1</t>
  </si>
  <si>
    <t>SDA1</t>
  </si>
  <si>
    <t>BUS: CS7#
GPT_OPS: GTIU
IIC1: SDA1
IRQ0: IRQ0-DS
SCI4: RXD4
SDHI0: SD0DAT2
SPI0: SSLA2
SSIE1: SSIDATA1
USB FS: USB_VBUSEN</t>
  </si>
  <si>
    <t>P207</t>
  </si>
  <si>
    <t>C13</t>
  </si>
  <si>
    <t>CAN_STB</t>
  </si>
  <si>
    <t>P208</t>
  </si>
  <si>
    <t>F8</t>
  </si>
  <si>
    <t>JTAG/SWD_TDI</t>
  </si>
  <si>
    <t>IRQ3</t>
  </si>
  <si>
    <t>GTOVLO</t>
  </si>
  <si>
    <t>CRX1</t>
  </si>
  <si>
    <t>VCOUT</t>
  </si>
  <si>
    <t>TDI</t>
  </si>
  <si>
    <t>CANFD1: CRX1
CLKOUT: VCOUT
GPT1: GTIOC1B
GPT_OPS: GTOVLO
IRQ3: IRQ3
JTAG/SWD: TDI
SCI9: RXD9</t>
  </si>
  <si>
    <t>P209</t>
  </si>
  <si>
    <t>F9</t>
  </si>
  <si>
    <t>JTAG/SWD_TDO</t>
  </si>
  <si>
    <t>TRACESWO</t>
  </si>
  <si>
    <t>GTOVUP</t>
  </si>
  <si>
    <t>CTX1</t>
  </si>
  <si>
    <t>TDO</t>
  </si>
  <si>
    <t>CANFD1: CTX1
CLKOUT: CLKOUT
GPT1: GTIOC1A
GPT_OPS: GTOVUP
JTAG/SWD: TDO
SCI9: TXD9
TRACE: TRACESWO</t>
  </si>
  <si>
    <t>P210</t>
  </si>
  <si>
    <t>D8</t>
  </si>
  <si>
    <t>JTAG/SWD_TMS</t>
  </si>
  <si>
    <t>GTIOC0B</t>
  </si>
  <si>
    <t>GTOULO</t>
  </si>
  <si>
    <t>SWDIO/TMS</t>
  </si>
  <si>
    <t>SWDIO</t>
  </si>
  <si>
    <t>GPT0: GTIOC0B
GPT_OPS: GTOULO
JTAG/SWD: SWDIO
JTAG/SWD: TMS
SCI9: CTS_RTS9
SCI9: DE9</t>
  </si>
  <si>
    <t>P211</t>
  </si>
  <si>
    <t>E10</t>
  </si>
  <si>
    <t>JTAG/SWD_TCK</t>
  </si>
  <si>
    <t>GTIOC0A</t>
  </si>
  <si>
    <t>GTOUUP</t>
  </si>
  <si>
    <t>SCK9/DE9</t>
  </si>
  <si>
    <t>SWCLK/TCK</t>
  </si>
  <si>
    <t>SWCLK</t>
  </si>
  <si>
    <t>GPT0: GTIOC0A
GPT_OPS: GTOUUP
JTAG/SWD: SWCLK
JTAG/SWD: TCK
SCI9: DE9
SCI9: SCK9</t>
  </si>
  <si>
    <t>P212</t>
  </si>
  <si>
    <t>H15</t>
  </si>
  <si>
    <t>EXTAL</t>
  </si>
  <si>
    <t>AGTEE1</t>
  </si>
  <si>
    <t>RXD1</t>
  </si>
  <si>
    <t>GTETRGD</t>
  </si>
  <si>
    <t>AGT1: AGTEE1
CGC: EXTAL
GPT0: GTIOC0B
GPT_POEGD: GTETRGD
IRQ3: IRQ3
SCI1: RXD1</t>
  </si>
  <si>
    <t>P213</t>
  </si>
  <si>
    <t>H14</t>
  </si>
  <si>
    <t>XTAL</t>
  </si>
  <si>
    <t>ULPTEE0</t>
  </si>
  <si>
    <t>TXD1</t>
  </si>
  <si>
    <t>ADTRG1</t>
  </si>
  <si>
    <t>GTETRGC</t>
  </si>
  <si>
    <t>ADC(Digital): ADTRG1
CGC: XTAL
GPT0: GTIOC0A
GPT_POEGC: GTETRGC
IRQ2: IRQ2
SCI1: TXD1
ULPT0: ULPTEE0</t>
  </si>
  <si>
    <t>P300</t>
  </si>
  <si>
    <t>D5</t>
  </si>
  <si>
    <t>ETHER_RMII_RMII0_RX_ER</t>
  </si>
  <si>
    <t>GTIOC3A</t>
  </si>
  <si>
    <t>RMII0_RX_ER</t>
  </si>
  <si>
    <t>IRQ4</t>
  </si>
  <si>
    <t>A1</t>
  </si>
  <si>
    <t>A1/DQM3</t>
  </si>
  <si>
    <t>ULPTEVI0_A-DS</t>
  </si>
  <si>
    <t>ET0_RX_CLK</t>
  </si>
  <si>
    <t>DE0/SCK0</t>
  </si>
  <si>
    <t>SSLA3</t>
  </si>
  <si>
    <t>ETH_A_RXER</t>
  </si>
  <si>
    <t>BUS: A1
ETHER_MII: ET0_RX_CLK
ETHER_RMII: RMII0_RX_ER
GPT3: GTIOC3A
IRQ4: IRQ4
SCI0: DE0
SCI0: SCK0
SDRAM: A1
SDRAM: DQM3
SPI0: SSLA3
ULPT0: ULPTEVI0_A-DS</t>
  </si>
  <si>
    <t>P301</t>
  </si>
  <si>
    <t>A2</t>
  </si>
  <si>
    <t>ETHER_RMII_RMII0_RXD1</t>
  </si>
  <si>
    <t>RMII0_RXD1</t>
  </si>
  <si>
    <t>IRQ6</t>
  </si>
  <si>
    <t>ULPTEE0_A-DS</t>
  </si>
  <si>
    <t>ET0_ERXD0</t>
  </si>
  <si>
    <t>ETH_A_RXD1</t>
  </si>
  <si>
    <t>AGT0: AGTIO0
BUS: A2
ETHER_MII: ET0_ERXD0
ETHER_RMII: RMII0_RXD1
GPT4: GTIOC4B
GPT_OPS: GTOULO
IRQ6: IRQ6
SDHI0: SD0DAT3
SDRAM: A2
ULPT0: ULPTEE0_A-DS</t>
  </si>
  <si>
    <t>P302</t>
  </si>
  <si>
    <t>B3</t>
  </si>
  <si>
    <t>ETHER_RMII_RMII0_RXD0</t>
  </si>
  <si>
    <t>RMII0_RXD0</t>
  </si>
  <si>
    <t>IRQ5</t>
  </si>
  <si>
    <t>A3</t>
  </si>
  <si>
    <t>ULPTO0_A-DS</t>
  </si>
  <si>
    <t>ET0_ERXD1</t>
  </si>
  <si>
    <t>ETH_A_RXD0</t>
  </si>
  <si>
    <t>BUS: A3
ETHER_MII: ET0_ERXD1
ETHER_RMII: RMII0_RXD0
GPT4: GTIOC4A
GPT_OPS: GTOUUP
IRQ5: IRQ5
SDHI0: SD0DAT2
SDRAM: A3
ULPT0: ULPTO0_A-DS</t>
  </si>
  <si>
    <t>P303</t>
  </si>
  <si>
    <t>C4</t>
  </si>
  <si>
    <t>ETHER_RMII_REF50CK0</t>
  </si>
  <si>
    <t>GTIOC7B</t>
  </si>
  <si>
    <t>REF50CK0</t>
  </si>
  <si>
    <t>A4</t>
  </si>
  <si>
    <t>ET0_ETXD0</t>
  </si>
  <si>
    <t>SD0DAT1</t>
  </si>
  <si>
    <t>ETH_A_REFCLK</t>
  </si>
  <si>
    <t>BUS: A4
ETHER_MII: ET0_ETXD0
ETHER_RMII: REF50CK0
GPT7: GTIOC7B
SDHI0: SD0DAT1
SDRAM: A4</t>
  </si>
  <si>
    <t>P304</t>
  </si>
  <si>
    <t>ETHER_RMII_RMII0_TXD0</t>
  </si>
  <si>
    <t>TDATA3</t>
  </si>
  <si>
    <t>GTIOC7A</t>
  </si>
  <si>
    <t>RMII0_TXD0</t>
  </si>
  <si>
    <t>IRQ9</t>
  </si>
  <si>
    <t>A5</t>
  </si>
  <si>
    <t>ULPTO1</t>
  </si>
  <si>
    <t>ET0_ETXD1</t>
  </si>
  <si>
    <t>SD0DAT0</t>
  </si>
  <si>
    <t>ETH_A_TXD0</t>
  </si>
  <si>
    <t>BUS: A5
ETHER_MII: ET0_ETXD1
ETHER_RMII: RMII0_TXD0
GPT7: GTIOC7A
GPT_OPS: GTOVLO
IRQ9: IRQ9
SDHI0: SD0DAT0
SDRAM: A5
TRACE: TDATA3
ULPT1: ULPTO1</t>
  </si>
  <si>
    <t>P305</t>
  </si>
  <si>
    <t>B4</t>
  </si>
  <si>
    <t>ETHER_RMII_RMII0_TXD1</t>
  </si>
  <si>
    <t>TDATA2</t>
  </si>
  <si>
    <t>RMII0_TXD1</t>
  </si>
  <si>
    <t>IRQ8</t>
  </si>
  <si>
    <t>A6</t>
  </si>
  <si>
    <t>ULPTEE1</t>
  </si>
  <si>
    <t>ET0_RX_ER</t>
  </si>
  <si>
    <t>SD0WP</t>
  </si>
  <si>
    <t>ETH_A_TXD1</t>
  </si>
  <si>
    <t>BUS: A6
ETHER_MII: ET0_RX_ER
ETHER_RMII: RMII0_TXD1
GPT_OPS: GTOVUP
IRQ8: IRQ8
SDHI0: SD0WP
SDRAM: A6
TRACE: TDATA2
ULPT1: ULPTEE1</t>
  </si>
  <si>
    <t>P306</t>
  </si>
  <si>
    <t>ETHER_RMII_RMII0_TXD_EN</t>
  </si>
  <si>
    <t>TDATA1</t>
  </si>
  <si>
    <t>RMII0_TXD_EN</t>
  </si>
  <si>
    <t>A7</t>
  </si>
  <si>
    <t>ULPTEVI1</t>
  </si>
  <si>
    <t>ET0_TX_EN</t>
  </si>
  <si>
    <t>SD0CD</t>
  </si>
  <si>
    <t>ETH_A_TXEN</t>
  </si>
  <si>
    <t>BUS: A7
ETHER_MII: ET0_TX_EN
ETHER_RMII: RMII0_TXD_EN
GPT_OPS: GTIW
SDHI0: SD0CD
SDRAM: A7
TRACE: TDATA1
ULPT1: ULPTEVI1</t>
  </si>
  <si>
    <t>P307</t>
  </si>
  <si>
    <t>B5</t>
  </si>
  <si>
    <t>ETHER_RMII_ET0_MDIO</t>
  </si>
  <si>
    <t>TDATA0</t>
  </si>
  <si>
    <t>ET0_MDIO</t>
  </si>
  <si>
    <t>A8</t>
  </si>
  <si>
    <t>SD0CMD</t>
  </si>
  <si>
    <t>ETH_A_MDIO</t>
  </si>
  <si>
    <t>BUS: A8
ETHER_MII: ET0_MDIO
ETHER_RMII: ET0_MDIO
GPT_OPS: GTIV
SDHI0: SD0CMD
SDRAM: A8
TRACE: TDATA0
ULPT1: ULPTOA1</t>
  </si>
  <si>
    <t>P308</t>
  </si>
  <si>
    <t>ETHER_RMII_ET0_MDC</t>
  </si>
  <si>
    <t>TCLK</t>
  </si>
  <si>
    <t>ET0_MDC</t>
  </si>
  <si>
    <t>A9</t>
  </si>
  <si>
    <t>SD0CLK</t>
  </si>
  <si>
    <t>ETH_A_MDC</t>
  </si>
  <si>
    <t>BUS: A9
ETHER_MII: ET0_MDC
ETHER_RMII: ET0_MDC
GPT_OPS: GTIU
SCI9: CTS9
SDHI0: SD0CLK
SDRAM: A9
TRACE: TCLK
ULPT1: ULPTOB1</t>
  </si>
  <si>
    <t>P309</t>
  </si>
  <si>
    <t>C6</t>
  </si>
  <si>
    <t>A10</t>
  </si>
  <si>
    <t>ET0_ETXD3</t>
  </si>
  <si>
    <t>RXD3</t>
  </si>
  <si>
    <t>ARDUINO_D0_MIKROBUS_RXD3</t>
  </si>
  <si>
    <t>BUS: A10
ETHER_MII: ET0_ETXD3
SCI3: RXD3
SDRAM: A10</t>
  </si>
  <si>
    <t>P310</t>
  </si>
  <si>
    <t>D6</t>
  </si>
  <si>
    <t>ET0_ETXD2</t>
  </si>
  <si>
    <t>TXD3</t>
  </si>
  <si>
    <t>ARDUINO_D1_MIKROBUS_TXD3</t>
  </si>
  <si>
    <t>AGT1: AGTEE1
BUS: A11
ETHER_MII: ET0_ETXD2
SCI3: TXD3
SDRAM: A11</t>
  </si>
  <si>
    <t>P311</t>
  </si>
  <si>
    <t>B6</t>
  </si>
  <si>
    <t>AGTOB1</t>
  </si>
  <si>
    <t>GTADSM1</t>
  </si>
  <si>
    <t>ET0_TX_ER</t>
  </si>
  <si>
    <t>SCK3/DE3</t>
  </si>
  <si>
    <t>CAN_RXD</t>
  </si>
  <si>
    <t>AGT1: AGTOB1
BUS: A12
CANFD0: CRX0
ETHER_MII: ET0_TX_ER
GPT_OPS: GTADSM1
SCI3: DE3
SCI3: SCK3
SDRAM: A12</t>
  </si>
  <si>
    <t>P312</t>
  </si>
  <si>
    <t>D7</t>
  </si>
  <si>
    <t>AGTOA1</t>
  </si>
  <si>
    <t>GTADSM0</t>
  </si>
  <si>
    <t>A13</t>
  </si>
  <si>
    <t>ET0_TX_CLK</t>
  </si>
  <si>
    <t>CTS_RTS3/DE3</t>
  </si>
  <si>
    <t>CAN_TXD</t>
  </si>
  <si>
    <t>AGT1: AGTOA1
BUS: A13
CANFD0: CTX0
ETHER_MII: ET0_TX_CLK
GPT_OPS: GTADSM0
SCI3: CTS_RTS3
SCI3: DE3
SDRAM: A13</t>
  </si>
  <si>
    <t>P313</t>
  </si>
  <si>
    <t>B10</t>
  </si>
  <si>
    <t>SD0DAT7</t>
  </si>
  <si>
    <t>CTS3</t>
  </si>
  <si>
    <t>MISO0</t>
  </si>
  <si>
    <t>SCI3: CTS3
SDHI0: SD0DAT7
SPI0: MISO0</t>
  </si>
  <si>
    <t>P314</t>
  </si>
  <si>
    <t>ADC(Digital): ADTRG0
SCI3: CTS_RTS3
SCI3: DE3</t>
  </si>
  <si>
    <t>P315</t>
  </si>
  <si>
    <t>C11</t>
  </si>
  <si>
    <t>DE3/SCK3</t>
  </si>
  <si>
    <t>SCI3: DE3
SCI3: SCK3</t>
  </si>
  <si>
    <t>P400</t>
  </si>
  <si>
    <t>R15</t>
  </si>
  <si>
    <t>GTIOC6A</t>
  </si>
  <si>
    <t>SD1CLK</t>
  </si>
  <si>
    <t>AUDIO_CLK</t>
  </si>
  <si>
    <t>VIO_D0</t>
  </si>
  <si>
    <t>I3C_SCL0</t>
  </si>
  <si>
    <t>I3C_SCL0_ARDUINO_MIKROBUS_PMOD1_3_qwiic</t>
  </si>
  <si>
    <t>ADC(Digital): ADTRG1
AGT1: AGTIO1
CEU: VIO_D0
ETHER_MII: ET0_WOL
ETHER_RMII: ET0_WOL
GPT6: GTIOC6A
I3C0: I3C_SCL0
IRQ0: IRQ0
SCI1: TXD1
SDHI1: SD1CLK
SSIE: AUDIO_CLK</t>
  </si>
  <si>
    <t>P401</t>
  </si>
  <si>
    <t>P15</t>
  </si>
  <si>
    <t>GTIOC6B</t>
  </si>
  <si>
    <t>IRQ5-DS</t>
  </si>
  <si>
    <t>SD1CMD</t>
  </si>
  <si>
    <t>VIO_D1</t>
  </si>
  <si>
    <t>I3C_SDA0</t>
  </si>
  <si>
    <t>I3C_SDA0_ARDUINO_MIKROBUS_PMOD1_4_qwiic</t>
  </si>
  <si>
    <t>CANFD0: CTX0
CEU: VIO_D1
ETHER_MII: ET0_MDC
ETHER_RMII: ET0_MDC
GPT6: GTIOC6B
GPT_POEGA: GTETRGA
I3C0: I3C_SDA0
IRQ5: IRQ5-DS
SCI1: RXD1
SDHI1: SD1CMD</t>
  </si>
  <si>
    <t>P402</t>
  </si>
  <si>
    <t>M12</t>
  </si>
  <si>
    <t>IRQ4-DS</t>
  </si>
  <si>
    <t>SD1DAT0</t>
  </si>
  <si>
    <t>DE1/SCK1</t>
  </si>
  <si>
    <t>RTCIC0</t>
  </si>
  <si>
    <t>ETH_B_MDIO</t>
  </si>
  <si>
    <t>CAC: CACREF
CANFD0: CRX0
ETHER_MII: ET0_MDIO
ETHER_RMII: ET0_MDIO
IRQ4: IRQ4-DS
RTC: RTCIC0
SCI1: DE1
SCI1: SCK1
SDHI1: SD1DAT0
SSIE: AUDIO_CLK</t>
  </si>
  <si>
    <t>P403</t>
  </si>
  <si>
    <t>N14</t>
  </si>
  <si>
    <t>IRQ14-DS</t>
  </si>
  <si>
    <t>SD1DAT1</t>
  </si>
  <si>
    <t>CTS_RTS1/DE1</t>
  </si>
  <si>
    <t>RTCIC1</t>
  </si>
  <si>
    <t>ETH_B_LINKSTA</t>
  </si>
  <si>
    <t>ETHER_MII: ET0_LINKSTA
ETHER_RMII: ET0_LINKSTA
GPT3: GTIOC3A
IRQ14: IRQ14-DS
RTC: RTCIC1
SCI1: CTS_RTS1
SCI1: DE1
SDHI1: SD1DAT1
SSIE0: SSISCK0</t>
  </si>
  <si>
    <t>P404</t>
  </si>
  <si>
    <t>L10</t>
  </si>
  <si>
    <t>IRQ15-DS</t>
  </si>
  <si>
    <t>SD1DAT2</t>
  </si>
  <si>
    <t>CTS1</t>
  </si>
  <si>
    <t>VIO_D3</t>
  </si>
  <si>
    <t>RTCIC2</t>
  </si>
  <si>
    <t>ETH_B_RST_N</t>
  </si>
  <si>
    <t>CEU: VIO_D3
ETHER_MII: ET0_EXOUT
ETHER_RMII: ET0_EXOUT
GPT3: GTIOC3B
IRQ15: IRQ15-DS
RTC: RTCIC2
SCI1: CTS1
SDHI1: SD1DAT2
SSIE0: SSIWS0</t>
  </si>
  <si>
    <t>P405</t>
  </si>
  <si>
    <t>N15</t>
  </si>
  <si>
    <t>SD1DAT3</t>
  </si>
  <si>
    <t>SCK2/DE2</t>
  </si>
  <si>
    <t>VIO_D2</t>
  </si>
  <si>
    <t>ETH_B_TXEN</t>
  </si>
  <si>
    <t>AGT1: AGTIO1
CEU: VIO_D2
ETHER_MII: ET0_TX_EN
ETHER_RMII: RMII0_TXD_EN
GPT1: GTIOC1A
SCI2: DE2
SCI2: SCK2
SDHI1: SD1DAT3
SSIE0: SSITXD0</t>
  </si>
  <si>
    <t>P406</t>
  </si>
  <si>
    <t>M13</t>
  </si>
  <si>
    <t>EXCIN</t>
  </si>
  <si>
    <t>SD1CD</t>
  </si>
  <si>
    <t>TXD2</t>
  </si>
  <si>
    <t>ETH_B_TXD1</t>
  </si>
  <si>
    <t>CEU: VIO_D3
CGC: EXCIN
ETHER_MII: ET0_RX_ER
ETHER_RMII: RMII0_TXD1
GPT1: GTIOC1B
SCI2: TXD2
SDHI1: SD1CD
SPI0: SSLA3
SSIE0: SSIRXD0</t>
  </si>
  <si>
    <t>P407</t>
  </si>
  <si>
    <t>D12</t>
  </si>
  <si>
    <t>USB FS_USB_VBUS</t>
  </si>
  <si>
    <t>GTIOC10B</t>
  </si>
  <si>
    <t>CS6#</t>
  </si>
  <si>
    <t>CTS_RTS4/DE4</t>
  </si>
  <si>
    <t>USB_VBUS</t>
  </si>
  <si>
    <t>SDA0</t>
  </si>
  <si>
    <t>RTCOUT</t>
  </si>
  <si>
    <t>USBFS_VBUS</t>
  </si>
  <si>
    <t>ADC(Digital): ADTRG0
AGT0: AGTIO0
BUS: CS6#
GPT10: GTIOC10B
IIC0: SDA0
RTC: RTCOUT
SCI4: CTS_RTS4
SCI4: DE4
SPI0: SSLA3
USB FS: USB_VBUS</t>
  </si>
  <si>
    <t>P408</t>
  </si>
  <si>
    <t>B15</t>
  </si>
  <si>
    <t>USB HS_USBHS_VBUSEN</t>
  </si>
  <si>
    <t>GTIOC10A</t>
  </si>
  <si>
    <t>IRQ7</t>
  </si>
  <si>
    <t>A17</t>
  </si>
  <si>
    <t>ULPTOB0</t>
  </si>
  <si>
    <t>RXD3/CTS4</t>
  </si>
  <si>
    <t>USBHS_VBUSEN</t>
  </si>
  <si>
    <t>SCL0</t>
  </si>
  <si>
    <t>BUS: A17
GPT10: GTIOC10A
GPT_OPS: GTOWLO
IIC0: SCL0
IRQ7: IRQ7
SCI3: RXD3
SCI4: CTS4
ULPT0: ULPTOB0
USB FS: USB_VBUSEN
USB HS: USBHS_VBUSEN</t>
  </si>
  <si>
    <t>P409</t>
  </si>
  <si>
    <t>E11</t>
  </si>
  <si>
    <t>USB HS_USBHS_OVRCURA</t>
  </si>
  <si>
    <t>A18</t>
  </si>
  <si>
    <t>ULPTOA0</t>
  </si>
  <si>
    <t>USBHS_OVRCURA</t>
  </si>
  <si>
    <t>USB_OVRCURA_A-DS</t>
  </si>
  <si>
    <t>BUS: A18
GPT_OPS: GTOWUP
IIC0: SDA0
IRQ6: IRQ6
SCI3: TXD3
ULPT0: ULPTOA0
USB FS: USB_OVRCURA_A-DS
USB HS: USBHS_OVRCURA</t>
  </si>
  <si>
    <t>P410</t>
  </si>
  <si>
    <t>D14</t>
  </si>
  <si>
    <t>SPI1_MISO1</t>
  </si>
  <si>
    <t>GTIOC9B</t>
  </si>
  <si>
    <t>A19</t>
  </si>
  <si>
    <t>USBHS_OVRCURB</t>
  </si>
  <si>
    <t>USB_OVRCURB_A-DS</t>
  </si>
  <si>
    <t>MISOB_B_ARDUINO_MIKROBUS</t>
  </si>
  <si>
    <t>AGT1: AGTOB1
BUS: A19
GPT9: GTIOC9B
GPT_OPS: GTOVLO
IIC0: SCL0
IRQ5: IRQ5
SCI3: DE3
SCI3: SCK3
SDHI0: SD0DAT1
SPI1: MISO1
USB FS: USB_OVRCURB_A-DS
USB HS: USBHS_OVRCURB</t>
  </si>
  <si>
    <t>P411</t>
  </si>
  <si>
    <t>D13</t>
  </si>
  <si>
    <t>SPI1_MOSI1</t>
  </si>
  <si>
    <t>GTIOC9A</t>
  </si>
  <si>
    <t>A20</t>
  </si>
  <si>
    <t>USBHS_ID</t>
  </si>
  <si>
    <t>USB_ID</t>
  </si>
  <si>
    <t>MOSIB_B_ARDUINO_MIKROBUS</t>
  </si>
  <si>
    <t>AGT1: AGTOA1
BUS: A20
GPT9: GTIOC9A
GPT_OPS: GTOVUP
IRQ4: IRQ4
SCI3: CTS_RTS3
SCI3: DE3
SDHI0: SD0DAT0
SPI1: MOSI1
USB FS: USB_ID
USB HS: USBHS_ID</t>
  </si>
  <si>
    <t>P412</t>
  </si>
  <si>
    <t>C15</t>
  </si>
  <si>
    <t>SPI1_RSPCK1</t>
  </si>
  <si>
    <t>A21</t>
  </si>
  <si>
    <t>USBHS_EXICEN</t>
  </si>
  <si>
    <t>USB_EXICEN</t>
  </si>
  <si>
    <t>RSPCKB_B_ARDUINO_MIKROBUS</t>
  </si>
  <si>
    <t>AGT1: AGTEE1
BUS: A21
GPT_OPS: GTOULO
SCI3: CTS3
SDHI0: SD0CMD
SPI1: RSPCK1
USB FS: USB_EXICEN
USB HS: USBHS_EXICEN</t>
  </si>
  <si>
    <t>P413</t>
  </si>
  <si>
    <t>A15</t>
  </si>
  <si>
    <t>SPI1_SSLB0</t>
  </si>
  <si>
    <t>A22</t>
  </si>
  <si>
    <t>SSLB0_B_ARDUINO_D10_MIKROBUS</t>
  </si>
  <si>
    <t>BUS: A22
GPT_OPS: GTOUUP
SDHI0: SD0CLK
SPI1: SSLB0
ULPT1: ULPTEE1</t>
  </si>
  <si>
    <t>P414</t>
  </si>
  <si>
    <t>D15</t>
  </si>
  <si>
    <t>A23</t>
  </si>
  <si>
    <t>VIO_D13</t>
  </si>
  <si>
    <t>LED2</t>
  </si>
  <si>
    <t>BUS: A23
CANFD1: CRX1
CEU: VIO_D13
GPT0: GTIOC0B
GPT_OPS: GTADSM1
IRQ9: IRQ9
SCI4: RXD4
SDHI0: SD0WP
SPI1: SSLB1</t>
  </si>
  <si>
    <t>P415</t>
  </si>
  <si>
    <t>C14</t>
  </si>
  <si>
    <t>WAIT</t>
  </si>
  <si>
    <t>VIO_D12</t>
  </si>
  <si>
    <t>BUS: WAIT
CANFD1: CTX1
CEU: VIO_D12
GPT0: GTIOC0A
GPT_OPS: GTADSM0
IRQ8: IRQ8
SCI4: TXD4
SDHI0: SD0CD
SPI1: SSLB2</t>
  </si>
  <si>
    <t>P500</t>
  </si>
  <si>
    <t>P5</t>
  </si>
  <si>
    <t>USB FS_USB_VBUSEN</t>
  </si>
  <si>
    <t>AN121</t>
  </si>
  <si>
    <t>USBFS_VBUS_EN</t>
  </si>
  <si>
    <t>ADC1: AN121
CAC: CACREF
SDHI1: SD1DAT1
USB FS: USB_VBUSEN</t>
  </si>
  <si>
    <t>P501</t>
  </si>
  <si>
    <t>R5</t>
  </si>
  <si>
    <t>USB FS_USB_OVRCURA</t>
  </si>
  <si>
    <t>AN120</t>
  </si>
  <si>
    <t>USBFS_OVERCURA</t>
  </si>
  <si>
    <t>ADC1: AN120
SDHI1: SD1DAT2
USB FS: USB_OVRCURA</t>
  </si>
  <si>
    <t>P502</t>
  </si>
  <si>
    <t>P6</t>
  </si>
  <si>
    <t>AN119/AN019</t>
  </si>
  <si>
    <t>MIKROBUS_RESET</t>
  </si>
  <si>
    <t>ADC0: AN019
ADC1: AN119
SDHI1: SD1DAT3
USB FS: USB_OVRCURB</t>
  </si>
  <si>
    <t>P503</t>
  </si>
  <si>
    <t>K7</t>
  </si>
  <si>
    <t>SDHI1: SD1CD</t>
  </si>
  <si>
    <t>P504</t>
  </si>
  <si>
    <t>N5</t>
  </si>
  <si>
    <t>SD1WP</t>
  </si>
  <si>
    <t>SDHI1: SD1WP</t>
  </si>
  <si>
    <t>P505</t>
  </si>
  <si>
    <t>K8</t>
  </si>
  <si>
    <t>D27</t>
  </si>
  <si>
    <t>DQ27</t>
  </si>
  <si>
    <t>SD1DAT4</t>
  </si>
  <si>
    <t>BUS: D27
SDHI1: SD1DAT4
SDRAM: DQ27</t>
  </si>
  <si>
    <t>P506</t>
  </si>
  <si>
    <t>N6</t>
  </si>
  <si>
    <t>D28</t>
  </si>
  <si>
    <t>DQ28</t>
  </si>
  <si>
    <t>SD1DAT5</t>
  </si>
  <si>
    <t>BUS: D28
SDHI1: SD1DAT5
SDRAM: DQ28</t>
  </si>
  <si>
    <t>P507</t>
  </si>
  <si>
    <t>L7</t>
  </si>
  <si>
    <t>D29</t>
  </si>
  <si>
    <t>DQ29</t>
  </si>
  <si>
    <t>SD1DAT6</t>
  </si>
  <si>
    <t>BUS: D29
SDHI1: SD1DAT6
SDRAM: DQ29</t>
  </si>
  <si>
    <t>P508</t>
  </si>
  <si>
    <t>M7</t>
  </si>
  <si>
    <t>D30</t>
  </si>
  <si>
    <t>DQ30</t>
  </si>
  <si>
    <t>SD1DAT7</t>
  </si>
  <si>
    <t>PMOD2_7_IRQ1</t>
  </si>
  <si>
    <t>BUS: D30
IRQ1: IRQ1
SDHI1: SD1DAT7
SDRAM: DQ30</t>
  </si>
  <si>
    <t>P509</t>
  </si>
  <si>
    <t>L8</t>
  </si>
  <si>
    <t>D31</t>
  </si>
  <si>
    <t>DQ31</t>
  </si>
  <si>
    <t>BUS: D31
IRQ2: IRQ2
SDRAM: DQ31
ULPT1: ULPTEVI1</t>
  </si>
  <si>
    <t>P510</t>
  </si>
  <si>
    <t>N7</t>
  </si>
  <si>
    <t>BC3/WR3</t>
  </si>
  <si>
    <t>ULPTEVI0</t>
  </si>
  <si>
    <t>BUS: BC3
BUS: WR3
IRQ3: IRQ3
ULPT0: ULPTEVI0</t>
  </si>
  <si>
    <t>P511</t>
  </si>
  <si>
    <t>K9</t>
  </si>
  <si>
    <t>IIC1_SDA1</t>
  </si>
  <si>
    <t>IRQ15</t>
  </si>
  <si>
    <t>GROVE2_IIC_SDA1</t>
  </si>
  <si>
    <t>CANFD1: CRX1
GPT0: GTIOC0B
IIC1: SDA1
IRQ15: IRQ15</t>
  </si>
  <si>
    <t>P512</t>
  </si>
  <si>
    <t>N13</t>
  </si>
  <si>
    <t>IIC1_SCL1</t>
  </si>
  <si>
    <t>GROVE2_IIC_SCL1</t>
  </si>
  <si>
    <t>CANFD1: CTX1
GPT0: GTIOC0A
IIC1: SCL1
IRQ14: IRQ14</t>
  </si>
  <si>
    <t>P513</t>
  </si>
  <si>
    <t>P13</t>
  </si>
  <si>
    <t>VIO_FLD</t>
  </si>
  <si>
    <t>AN116/AN016</t>
  </si>
  <si>
    <t>IVCMP1_0</t>
  </si>
  <si>
    <t>ACMPHS1: IVCMP1_0
ADC0: AN016
ADC1: AN116
CEU: VIO_FLD</t>
  </si>
  <si>
    <t>P514</t>
  </si>
  <si>
    <t>P14</t>
  </si>
  <si>
    <t>P515</t>
  </si>
  <si>
    <t>R14</t>
  </si>
  <si>
    <t>P600</t>
  </si>
  <si>
    <t>K3</t>
  </si>
  <si>
    <t>ULPTEVI1_A-DS</t>
  </si>
  <si>
    <t>OM_RSTO1</t>
  </si>
  <si>
    <t>LED1</t>
  </si>
  <si>
    <t>CAC: CACREF
GPT6: GTIOC6B
OSPI: OM_RSTO1
ULPT1: ULPTEVI1_A-DS</t>
  </si>
  <si>
    <t>P601</t>
  </si>
  <si>
    <t>K4</t>
  </si>
  <si>
    <t>BUS_D0</t>
  </si>
  <si>
    <t>D0</t>
  </si>
  <si>
    <t>DQ0</t>
  </si>
  <si>
    <t>SCK0/DE0</t>
  </si>
  <si>
    <t>OM_WP1</t>
  </si>
  <si>
    <t>ARDUINO_D5</t>
  </si>
  <si>
    <t>BUS: D0
GPT6: GTIOC6A
OSPI: OM_WP1
RTC: RTCOUT
SCI0: DE0
SCI0: SCK0
SDRAM: DQ0
ULPT0: ULPTEVI0</t>
  </si>
  <si>
    <t>P602</t>
  </si>
  <si>
    <t>L4</t>
  </si>
  <si>
    <t>BUS_D1</t>
  </si>
  <si>
    <t>D1</t>
  </si>
  <si>
    <t>DQ1</t>
  </si>
  <si>
    <t>ARDUINO_D6</t>
  </si>
  <si>
    <t>BUS: D1
GPT7: GTIOC7B
SCI0: RXD0
SDRAM: DQ1
ULPT0: ULPTEE0</t>
  </si>
  <si>
    <t>P603</t>
  </si>
  <si>
    <t>M4</t>
  </si>
  <si>
    <t>BUS_D2</t>
  </si>
  <si>
    <t>D2</t>
  </si>
  <si>
    <t>DQ2</t>
  </si>
  <si>
    <t>ULPTO0</t>
  </si>
  <si>
    <t>ARDUINO_D9</t>
  </si>
  <si>
    <t>BUS: D2
GPT7: GTIOC7A
SCI0: TXD0
SDRAM: DQ2
ULPT0: ULPTO0</t>
  </si>
  <si>
    <t>P604</t>
  </si>
  <si>
    <t>N4</t>
  </si>
  <si>
    <t>BUS_D3</t>
  </si>
  <si>
    <t>DQ3</t>
  </si>
  <si>
    <t>BUS: D3
GPT8: GTIOC8B
SCI0: CTS_RTS0
SCI0: DE0
SDRAM: DQ3</t>
  </si>
  <si>
    <t>P605</t>
  </si>
  <si>
    <t>K5</t>
  </si>
  <si>
    <t>BUS_D4</t>
  </si>
  <si>
    <t>D4</t>
  </si>
  <si>
    <t>DQ4</t>
  </si>
  <si>
    <t>BUS: D4
GPT8: GTIOC8A
SCI0: CTS0
SDRAM: DQ4</t>
  </si>
  <si>
    <t>P606</t>
  </si>
  <si>
    <t>M5</t>
  </si>
  <si>
    <t>BUS_D5</t>
  </si>
  <si>
    <t>DQ5</t>
  </si>
  <si>
    <t>BUS: D5
SDRAM: DQ5</t>
  </si>
  <si>
    <t>P607</t>
  </si>
  <si>
    <t>J4</t>
  </si>
  <si>
    <t>BUS_D6</t>
  </si>
  <si>
    <t>DQ6</t>
  </si>
  <si>
    <t>BUS: D6
SDRAM: DQ6</t>
  </si>
  <si>
    <t>P609</t>
  </si>
  <si>
    <t>B1</t>
  </si>
  <si>
    <t>BUS_D8</t>
  </si>
  <si>
    <t>DQ8</t>
  </si>
  <si>
    <t>ULPTOA1_A-DS</t>
  </si>
  <si>
    <t>ET0_RX_DV</t>
  </si>
  <si>
    <t>PMOD1_3_MISO0_RXD0_SCL0</t>
  </si>
  <si>
    <t>BUS: D8
CANFD1: CTX1
ETHER_MII: ET0_RX_DV
GPT5: GTIOC5B
SCI0: TXD0
SDRAM: DQ8
SPI0: MISO0
ULPT1: ULPTOA1_A-DS</t>
  </si>
  <si>
    <t>P610</t>
  </si>
  <si>
    <t>E4</t>
  </si>
  <si>
    <t>BUS_D9</t>
  </si>
  <si>
    <t>D9</t>
  </si>
  <si>
    <t>DQ9</t>
  </si>
  <si>
    <t>ULPTOB1_A-DS</t>
  </si>
  <si>
    <t>ET0_COL</t>
  </si>
  <si>
    <t>PMOD1_2_MOSI0_TXD0</t>
  </si>
  <si>
    <t>BUS: D9
CANFD1: CRX1
ETHER_MII: ET0_COL
GPT4: GTIOC4A
SCI0: RXD0
SDRAM: DQ9
SPI0: RSPCK0
ULPT1: ULPTOB1_A-DS</t>
  </si>
  <si>
    <t>P611</t>
  </si>
  <si>
    <t>BUS_D10</t>
  </si>
  <si>
    <t>D10</t>
  </si>
  <si>
    <t>DQ10</t>
  </si>
  <si>
    <t>ET0_ERXD2</t>
  </si>
  <si>
    <t>PMOD1_4_SCK0</t>
  </si>
  <si>
    <t>BUS: D10
CAC: CACREF
CLKOUT: CLKOUT
ETHER_MII: ET0_ERXD2
GPT4: GTIOC4B
SCI0: DE0
SCI0: SCK0
SDRAM: DQ10
SPI0: MOSI0</t>
  </si>
  <si>
    <t>P612</t>
  </si>
  <si>
    <t>F3</t>
  </si>
  <si>
    <t>BUS_D11</t>
  </si>
  <si>
    <t>DQ11</t>
  </si>
  <si>
    <t>ET0_ERXD3</t>
  </si>
  <si>
    <t>PMOD1_1_SSL0_CTS_RTS</t>
  </si>
  <si>
    <t>BUS: D11
ETHER_MII: ET0_ERXD3
SCI0: CTS_RTS0
SCI0: DE0
SDRAM: DQ11
SPI0: SSLA0</t>
  </si>
  <si>
    <t>P613</t>
  </si>
  <si>
    <t>E2</t>
  </si>
  <si>
    <t>BUS_D12</t>
  </si>
  <si>
    <t>DQ12</t>
  </si>
  <si>
    <t>PMOD1_1_CTS0</t>
  </si>
  <si>
    <t>AGT1: AGTO1
BUS: D12
GPT_POEGA: GTETRGA
SCI0: CTS0
SDRAM: DQ12</t>
  </si>
  <si>
    <t>P614</t>
  </si>
  <si>
    <t>F4</t>
  </si>
  <si>
    <t>BUS_D13</t>
  </si>
  <si>
    <t>DQ13</t>
  </si>
  <si>
    <t>PMOD1_9_GPIO</t>
  </si>
  <si>
    <t>AGT0: AGTO0
BUS: D13
GPT_POEGB: GTETRGB
SDRAM: DQ13</t>
  </si>
  <si>
    <t>P615</t>
  </si>
  <si>
    <t>E3</t>
  </si>
  <si>
    <t>BUS_D14</t>
  </si>
  <si>
    <t>DQ14</t>
  </si>
  <si>
    <t>PMOD1_10_GPIO</t>
  </si>
  <si>
    <t>BUS: D14
GPT_POEGC: GTETRGC
IRQ7: IRQ7
SDRAM: DQ14
USB FS: USB_VBUSEN</t>
  </si>
  <si>
    <t>P700</t>
  </si>
  <si>
    <t>M14</t>
  </si>
  <si>
    <t>RXD2</t>
  </si>
  <si>
    <t>VIO_D4</t>
  </si>
  <si>
    <t>ETH_B_TXD0</t>
  </si>
  <si>
    <t>CEU: VIO_D4
ETHER_MII: ET0_ETXD1
ETHER_RMII: RMII0_TXD0
GPT5: GTIOC5A
SCI2: RXD2
SDHI1: SD1WP
SPI0: MISO0
SSIE1: SSIDATA1</t>
  </si>
  <si>
    <t>P701</t>
  </si>
  <si>
    <t>L12</t>
  </si>
  <si>
    <t>CTS_RTS2/DE2</t>
  </si>
  <si>
    <t>VIO_D5</t>
  </si>
  <si>
    <t>ETH_B_REFCLK</t>
  </si>
  <si>
    <t>CEU: VIO_D5
ETHER_MII: ET0_ETXD0
ETHER_RMII: REF50CK0
GPT5: GTIOC5B
SCI2: CTS_RTS2
SCI2: DE2
SDHI1: SD1DAT4
SPI0: MOSI0
SSIE1: SSIWS1
ULPT1: ULPTO1</t>
  </si>
  <si>
    <t>P702</t>
  </si>
  <si>
    <t>L13</t>
  </si>
  <si>
    <t>CTS2</t>
  </si>
  <si>
    <t>VIO_D6</t>
  </si>
  <si>
    <t>ETH_B_RXD0</t>
  </si>
  <si>
    <t>CEU: VIO_D6
ETHER_MII: ET0_ERXD1
ETHER_RMII: RMII0_RXD0
GPT6: GTIOC6A
SCI2: CTS2
SDHI1: SD1DAT5
SPI0: RSPCK0
SSIE1: SSISCK1
ULPT0: ULPTO0</t>
  </si>
  <si>
    <t>P703</t>
  </si>
  <si>
    <t>L11</t>
  </si>
  <si>
    <t>VIO_D7</t>
  </si>
  <si>
    <t>ETH_B_RXD1</t>
  </si>
  <si>
    <t>AGT1: AGTO1
CEU: VIO_D7
CLKOUT: VCOUT
ETHER_MII: ET0_ERXD0
ETHER_RMII: RMII0_RXD1
GPT6: GTIOC6B
SDHI1: SD1DAT6
SPI0: SSLA0</t>
  </si>
  <si>
    <t>P704</t>
  </si>
  <si>
    <t>K12</t>
  </si>
  <si>
    <t>VIO_D8</t>
  </si>
  <si>
    <t>ETH_B_RXER</t>
  </si>
  <si>
    <t>AGT0: AGTO0
CANFD0: CTX0
CEU: VIO_D8
ETHER_MII: ET0_RX_CLK
ETHER_RMII: RMII0_RX_ER
GPT_OPS: GTADSM0
SDHI1: SD1DAT7
SPI0: SSLA1</t>
  </si>
  <si>
    <t>P705</t>
  </si>
  <si>
    <t>K10</t>
  </si>
  <si>
    <t>VIO_D9</t>
  </si>
  <si>
    <t>ETH_B_RMII_RXDV</t>
  </si>
  <si>
    <t>AGT0: AGTIO0
CANFD0: CRX0
CEU: VIO_D9
ETHER_MII: ET0_CRS
ETHER_RMII: RMII0_CRS_DV
GPT_OPS: GTADSM1
SCI1: CTS1
SPI0: SSLA2</t>
  </si>
  <si>
    <t>P706</t>
  </si>
  <si>
    <t>K13</t>
  </si>
  <si>
    <t>USBHS_OVRCURB_A-DS</t>
  </si>
  <si>
    <t>VIO_D10</t>
  </si>
  <si>
    <t>AGT0: AGTIO0
CEU: VIO_D10
IRQ7: IRQ7
SCI1: RXD1
USB HS: USBHS_OVRCURB_A-DS</t>
  </si>
  <si>
    <t>P707</t>
  </si>
  <si>
    <t>K11</t>
  </si>
  <si>
    <t>USBHS_OVRCURA_A-DS</t>
  </si>
  <si>
    <t>IRQ8: IRQ8
SCI1: TXD1
USB HS: USBHS_OVRCURA_A-DS</t>
  </si>
  <si>
    <t>P708</t>
  </si>
  <si>
    <t>E13</t>
  </si>
  <si>
    <t>IRQ11</t>
  </si>
  <si>
    <t>BC1/WR1</t>
  </si>
  <si>
    <t>SCK4/DE4</t>
  </si>
  <si>
    <t>VIO_CLK</t>
  </si>
  <si>
    <t>BUS: BC1
BUS: WR1
CAC: CACREF
CEU: VIO_CLK
IRQ11: IRQ11
SCI4: DE4
SCI4: SCK4
SPI1: SSLB3
SSIE: AUDIO_CLK</t>
  </si>
  <si>
    <t>P709</t>
  </si>
  <si>
    <t>E15</t>
  </si>
  <si>
    <t>IRQ10</t>
  </si>
  <si>
    <t>CS4#</t>
  </si>
  <si>
    <t>VIO_HD</t>
  </si>
  <si>
    <t>BUS: CS4#
CEU: VIO_HD
IRQ10: IRQ10
SCI4: CTS_RTS4
SCI4: DE4</t>
  </si>
  <si>
    <t>P710</t>
  </si>
  <si>
    <t>E14</t>
  </si>
  <si>
    <t>CS5#</t>
  </si>
  <si>
    <t>CTS4</t>
  </si>
  <si>
    <t>VIO_VD</t>
  </si>
  <si>
    <t>BUS: CS5#
CEU: VIO_VD
SCI4: CTS4</t>
  </si>
  <si>
    <t>P711</t>
  </si>
  <si>
    <t>F10</t>
  </si>
  <si>
    <t>I3C_SDA0_PULLUP</t>
  </si>
  <si>
    <t>AGT0: AGTEE0</t>
  </si>
  <si>
    <t>P712</t>
  </si>
  <si>
    <t>E12</t>
  </si>
  <si>
    <t>AGT0: AGTOB0
GPT2: GTIOC2B</t>
  </si>
  <si>
    <t>P713</t>
  </si>
  <si>
    <t>G11</t>
  </si>
  <si>
    <t>AGT0: AGTOA0
GPT2: GTIOC2A</t>
  </si>
  <si>
    <t>P714</t>
  </si>
  <si>
    <t>G10</t>
  </si>
  <si>
    <t>SCI4: TXD4</t>
  </si>
  <si>
    <t>P715</t>
  </si>
  <si>
    <t>F11</t>
  </si>
  <si>
    <t>SCI4: RXD4</t>
  </si>
  <si>
    <t>P800</t>
  </si>
  <si>
    <t>M3</t>
  </si>
  <si>
    <t>OSPI_OM_SIO5</t>
  </si>
  <si>
    <t>GTIOC11A</t>
  </si>
  <si>
    <t>OM_SIO5</t>
  </si>
  <si>
    <t>OSPI_DQ5</t>
  </si>
  <si>
    <t>AGT0: AGTOA0
GPT11: GTIOC11A
GPT_OPS: GTIU
IRQ11: IRQ11
OSPI: OM_SIO5
SCI2: CTS2</t>
  </si>
  <si>
    <t>P801</t>
  </si>
  <si>
    <t>N2</t>
  </si>
  <si>
    <t>OSPI_OM_DQS</t>
  </si>
  <si>
    <t>GTIOC11B</t>
  </si>
  <si>
    <t>IRQ12</t>
  </si>
  <si>
    <t>OM_DQS</t>
  </si>
  <si>
    <t>OSPI_DS</t>
  </si>
  <si>
    <t>AGT0: AGTOB0
GPT11: GTIOC11B
GPT_OPS: GTIV
IRQ12: IRQ12
OSPI: OM_DQS
SCI2: TXD2</t>
  </si>
  <si>
    <t>P802</t>
  </si>
  <si>
    <t>P1</t>
  </si>
  <si>
    <t>OSPI_OM_SIO6</t>
  </si>
  <si>
    <t>GTIOC12A</t>
  </si>
  <si>
    <t>OM_SIO6</t>
  </si>
  <si>
    <t>OSPI_DQ6</t>
  </si>
  <si>
    <t>GPT12: GTIOC12A
GPT_OPS: GTIW
OSPI: OM_SIO6
SCI2: RXD2</t>
  </si>
  <si>
    <t>P803</t>
  </si>
  <si>
    <t>N3</t>
  </si>
  <si>
    <t>OSPI_OM_SIO1</t>
  </si>
  <si>
    <t>GTIOC12B</t>
  </si>
  <si>
    <t>DE2/SCK2</t>
  </si>
  <si>
    <t>OM_SIO1</t>
  </si>
  <si>
    <t>OSPI_DQ1</t>
  </si>
  <si>
    <t>GPT12: GTIOC12B
GPT_POEGC: GTETRGC
OSPI: OM_SIO1
SCI2: DE2
SCI2: SCK2</t>
  </si>
  <si>
    <t>P804</t>
  </si>
  <si>
    <t>P2</t>
  </si>
  <si>
    <t>OSPI_OM_SIO7</t>
  </si>
  <si>
    <t>GTIOC13A</t>
  </si>
  <si>
    <t>OM_SIO7</t>
  </si>
  <si>
    <t>OSPI_DQ7</t>
  </si>
  <si>
    <t>GPT13: GTIOC13A
GPT_POEGD: GTETRGD
IRQ14: IRQ14
OSPI: OM_SIO7
SCI2: CTS_RTS2
SCI2: DE2</t>
  </si>
  <si>
    <t>P805</t>
  </si>
  <si>
    <t>M11</t>
  </si>
  <si>
    <t>VIO_D15</t>
  </si>
  <si>
    <t>AN017/AN117</t>
  </si>
  <si>
    <t>ADC0: AN017
ADC1: AN117
CEU: VIO_D15</t>
  </si>
  <si>
    <t>P806</t>
  </si>
  <si>
    <t>N11</t>
  </si>
  <si>
    <t>VIO_D14</t>
  </si>
  <si>
    <t>AN018/AN118</t>
  </si>
  <si>
    <t>ADC0: AN018
ADC1: AN118
CEU: VIO_D14
IRQ0: IRQ0</t>
  </si>
  <si>
    <t>P807</t>
  </si>
  <si>
    <t>N12</t>
  </si>
  <si>
    <t>P808</t>
  </si>
  <si>
    <t>R1</t>
  </si>
  <si>
    <t>OSPI_OM_SCLK</t>
  </si>
  <si>
    <t>GTIOC13B</t>
  </si>
  <si>
    <t>OM_SCLK</t>
  </si>
  <si>
    <t>OSPI_CK</t>
  </si>
  <si>
    <t>GPT13: GTIOC13B
IRQ15: IRQ15
OSPI: OM_SCLK</t>
  </si>
  <si>
    <t>P809</t>
  </si>
  <si>
    <t>R2</t>
  </si>
  <si>
    <t>OM_SCLKN</t>
  </si>
  <si>
    <t>PMOD2_8_RESET</t>
  </si>
  <si>
    <t>OSPI: OM_SCLKN</t>
  </si>
  <si>
    <t>P810</t>
  </si>
  <si>
    <t>P4</t>
  </si>
  <si>
    <t>PMOD2_9_GPIO</t>
  </si>
  <si>
    <t>SDHI1: SD1CLK
ULPT0: ULPTOA0</t>
  </si>
  <si>
    <t>P811</t>
  </si>
  <si>
    <t>M6</t>
  </si>
  <si>
    <t>PMOD2_10_GPIO</t>
  </si>
  <si>
    <t>SDHI1: SD1CMD
ULPT0: ULPTOB0
USB FS: USB_ID</t>
  </si>
  <si>
    <t>P812</t>
  </si>
  <si>
    <t>R4</t>
  </si>
  <si>
    <t>AN122</t>
  </si>
  <si>
    <t>ARDUINO_RESET</t>
  </si>
  <si>
    <t>ADC1: AN122
SDHI1: SD1DAT0
USB FS: USB_EXICEN</t>
  </si>
  <si>
    <t>P813</t>
  </si>
  <si>
    <t>J5</t>
  </si>
  <si>
    <t>D20</t>
  </si>
  <si>
    <t>DQ20</t>
  </si>
  <si>
    <t>BUS: D20
SDRAM: DQ20</t>
  </si>
  <si>
    <t>P814</t>
  </si>
  <si>
    <t>A14</t>
  </si>
  <si>
    <t>USB FS_USB_DP</t>
  </si>
  <si>
    <t>USB_DP</t>
  </si>
  <si>
    <t>USBFS_P</t>
  </si>
  <si>
    <t>CANFD0: CRX0
GPT8: GTIOC8B
USB FS: USB_DP</t>
  </si>
  <si>
    <t>P815</t>
  </si>
  <si>
    <t>B14</t>
  </si>
  <si>
    <t>USB FS_USB_DM</t>
  </si>
  <si>
    <t>USB_DM</t>
  </si>
  <si>
    <t>USBFS_N</t>
  </si>
  <si>
    <t>CANFD0: CTX0
GPT8: GTIOC8A
USB FS: USB_DM</t>
  </si>
  <si>
    <t>P900</t>
  </si>
  <si>
    <t>C10</t>
  </si>
  <si>
    <t>SCI3: TXD3</t>
  </si>
  <si>
    <t>P901</t>
  </si>
  <si>
    <t>B9</t>
  </si>
  <si>
    <t>AGT1: AGTIO1
SCI3: RXD3</t>
  </si>
  <si>
    <t>P902</t>
  </si>
  <si>
    <t>P903</t>
  </si>
  <si>
    <t>C9</t>
  </si>
  <si>
    <t>GPT11: GTIOC11A</t>
  </si>
  <si>
    <t>P904</t>
  </si>
  <si>
    <t>GPT11: GTIOC11B</t>
  </si>
  <si>
    <t>P905</t>
  </si>
  <si>
    <t>ARDUINO_D4</t>
  </si>
  <si>
    <t>BUS: A14
IRQ8: IRQ8
SCI3: CTS3
SDRAM: A14</t>
  </si>
  <si>
    <t>P906</t>
  </si>
  <si>
    <t>C7</t>
  </si>
  <si>
    <t>ARDUINO_D2</t>
  </si>
  <si>
    <t>BUS: A15
GPT13: GTIOC13B
IRQ9: IRQ9
SDRAM: A15
USB FS: USB_ID</t>
  </si>
  <si>
    <t>P907</t>
  </si>
  <si>
    <t>B7</t>
  </si>
  <si>
    <t>A16</t>
  </si>
  <si>
    <t>ARDUINO_D3_MIKROBUS_GTIOC13A</t>
  </si>
  <si>
    <t>BUS: A16
GPT13: GTIOC13A
IRQ10: IRQ10
SDRAM: A16
USB FS: USB_EXICEN</t>
  </si>
  <si>
    <t>P908</t>
  </si>
  <si>
    <t>C8</t>
  </si>
  <si>
    <t>CS2#</t>
  </si>
  <si>
    <t>RAS</t>
  </si>
  <si>
    <t>ARDUINO_D7</t>
  </si>
  <si>
    <t>BUS: CS2#
GPT12: GTIOC12B
IRQ11: IRQ11
SDRAM: RAS
USB HS: USBHS_ID</t>
  </si>
  <si>
    <t>P909</t>
  </si>
  <si>
    <t>CS3#</t>
  </si>
  <si>
    <t>CAS</t>
  </si>
  <si>
    <t>ARDUINO_D8</t>
  </si>
  <si>
    <t>BUS: CS3#
GPT12: GTIOC12A
SDRAM: CAS
USB HS: USBHS_EXICEN</t>
  </si>
  <si>
    <t>P910</t>
  </si>
  <si>
    <t>E7</t>
  </si>
  <si>
    <t>P911</t>
  </si>
  <si>
    <t>E6</t>
  </si>
  <si>
    <t>GPT3: GTIOC3B</t>
  </si>
  <si>
    <t>P912</t>
  </si>
  <si>
    <t>F7</t>
  </si>
  <si>
    <t>GPT3: GTIOC3A</t>
  </si>
  <si>
    <t>P913</t>
  </si>
  <si>
    <t>E8</t>
  </si>
  <si>
    <t>CLKOUT: CLKOUT</t>
  </si>
  <si>
    <t>P914</t>
  </si>
  <si>
    <t>F6</t>
  </si>
  <si>
    <t>GPT5: GTIOC5B</t>
  </si>
  <si>
    <t>P915</t>
  </si>
  <si>
    <t>C5</t>
  </si>
  <si>
    <t>GPT5: GTIOC5A</t>
  </si>
  <si>
    <t>PA00</t>
  </si>
  <si>
    <t>H4</t>
  </si>
  <si>
    <t>BUS_D7</t>
  </si>
  <si>
    <t>DQ7</t>
  </si>
  <si>
    <t>BUS: D7
SDRAM: DQ7</t>
  </si>
  <si>
    <t>PA01</t>
  </si>
  <si>
    <t>H3</t>
  </si>
  <si>
    <t>BUS_RD</t>
  </si>
  <si>
    <t>RD</t>
  </si>
  <si>
    <t>BUS: RD</t>
  </si>
  <si>
    <t>PA02</t>
  </si>
  <si>
    <t>K6</t>
  </si>
  <si>
    <t>SCI2_RXD2</t>
  </si>
  <si>
    <t>D26</t>
  </si>
  <si>
    <t>DQ26</t>
  </si>
  <si>
    <t>PMOD2_3_MISO2_RXD2</t>
  </si>
  <si>
    <t>BUS: D26
SCI2: RXD2
SDRAM: DQ26</t>
  </si>
  <si>
    <t>PA03</t>
  </si>
  <si>
    <t>G4</t>
  </si>
  <si>
    <t>SCI2_TXD2</t>
  </si>
  <si>
    <t>D25</t>
  </si>
  <si>
    <t>DQ25</t>
  </si>
  <si>
    <t>PMOD2_2_MOSI2_TXD2</t>
  </si>
  <si>
    <t>BUS: D25
SCI2: TXD2
SDRAM: DQ25</t>
  </si>
  <si>
    <t>PA04</t>
  </si>
  <si>
    <t>L6</t>
  </si>
  <si>
    <t>SCI2_SCK2</t>
  </si>
  <si>
    <t>D24</t>
  </si>
  <si>
    <t>DQ24</t>
  </si>
  <si>
    <t>PMOD2_4_SCK2</t>
  </si>
  <si>
    <t>BUS: D24
SCI2: DE2
SCI2: SCK2
SDRAM: DQ24</t>
  </si>
  <si>
    <t>PA05</t>
  </si>
  <si>
    <t>H5</t>
  </si>
  <si>
    <t>SCI2_CTS_RTS2</t>
  </si>
  <si>
    <t>D23</t>
  </si>
  <si>
    <t>DQ23</t>
  </si>
  <si>
    <t>PMOD2_1_CTS_RTS_SSL2</t>
  </si>
  <si>
    <t>BUS: D23
SCI2: CTS_RTS2
SCI2: DE2
SDRAM: DQ23</t>
  </si>
  <si>
    <t>PA06</t>
  </si>
  <si>
    <t>L5</t>
  </si>
  <si>
    <t>D22</t>
  </si>
  <si>
    <t>DQ22</t>
  </si>
  <si>
    <t>PMOD2_1_CTS2</t>
  </si>
  <si>
    <t>BUS: D22
GPT7: GTIOC7B
SCI2: CTS2
SDRAM: DQ22</t>
  </si>
  <si>
    <t>PA07</t>
  </si>
  <si>
    <t>G5</t>
  </si>
  <si>
    <t>D21</t>
  </si>
  <si>
    <t>DQ21</t>
  </si>
  <si>
    <t>BUS: D21
GPT7: GTIOC7A
SDRAM: DQ21</t>
  </si>
  <si>
    <t>PA08</t>
  </si>
  <si>
    <t>G3</t>
  </si>
  <si>
    <t>BUS_D15</t>
  </si>
  <si>
    <t>DQ15</t>
  </si>
  <si>
    <t>PMOD1_8_RESET</t>
  </si>
  <si>
    <t>BUS: D15
GPT_POEGD: GTETRGD
IRQ6: IRQ6
SDRAM: DQ15</t>
  </si>
  <si>
    <t>PA09</t>
  </si>
  <si>
    <t>E1</t>
  </si>
  <si>
    <t>BUS_EBCLK</t>
  </si>
  <si>
    <t>EBCLK</t>
  </si>
  <si>
    <t>SDCLK</t>
  </si>
  <si>
    <t>BUS: EBCLK
IRQ5: IRQ5
SDRAM: SDCLK</t>
  </si>
  <si>
    <t>PA10</t>
  </si>
  <si>
    <t>F2</t>
  </si>
  <si>
    <t>WR/WR0</t>
  </si>
  <si>
    <t>DQM0</t>
  </si>
  <si>
    <t>BUS: WR
BUS: WR0
IRQ4: IRQ4
SDRAM: DQM0</t>
  </si>
  <si>
    <t>PA11</t>
  </si>
  <si>
    <t>BC2/WR2</t>
  </si>
  <si>
    <t>DQM2</t>
  </si>
  <si>
    <t>BUS: BC2
BUS: WR2
GPT6: GTIOC6A
SDRAM: DQM2</t>
  </si>
  <si>
    <t>PA12</t>
  </si>
  <si>
    <t>D16</t>
  </si>
  <si>
    <t>DQ16</t>
  </si>
  <si>
    <t>BUS: D16
GPT6: GTIOC6B
SDRAM: DQ16</t>
  </si>
  <si>
    <t>PA13</t>
  </si>
  <si>
    <t>E5</t>
  </si>
  <si>
    <t>D17</t>
  </si>
  <si>
    <t>DQ17</t>
  </si>
  <si>
    <t>BUS: D17
SDRAM: DQ17</t>
  </si>
  <si>
    <t>PA14</t>
  </si>
  <si>
    <t>C1</t>
  </si>
  <si>
    <t>SCI9_TXD9</t>
  </si>
  <si>
    <t>D18</t>
  </si>
  <si>
    <t>DQ18</t>
  </si>
  <si>
    <t>JLOB_COMS_TX</t>
  </si>
  <si>
    <t>BUS: D18
SCI9: TXD9
SDRAM: DQ18</t>
  </si>
  <si>
    <t>PA15</t>
  </si>
  <si>
    <t>F5</t>
  </si>
  <si>
    <t>SCI9_RXD9</t>
  </si>
  <si>
    <t>D19</t>
  </si>
  <si>
    <t>DQ19</t>
  </si>
  <si>
    <t>JLOB_COMS_RX</t>
  </si>
  <si>
    <t>BUS: D19
SCI9: RXD9
SDRAM: DQ19</t>
  </si>
  <si>
    <t>PB00</t>
  </si>
  <si>
    <t>L14</t>
  </si>
  <si>
    <t>SCK1/DE1</t>
  </si>
  <si>
    <t>I3C_SCL0_PULLUP</t>
  </si>
  <si>
    <t>SCI1: DE1
SCI1: SCK1
USB HS: USBHS_VBUSEN</t>
  </si>
  <si>
    <t>PB01</t>
  </si>
  <si>
    <t>L15</t>
  </si>
  <si>
    <t>USB HS_USBHS_VBUS</t>
  </si>
  <si>
    <t>ALE</t>
  </si>
  <si>
    <t>USBHS_VBUS</t>
  </si>
  <si>
    <t>VIO_D11</t>
  </si>
  <si>
    <t>BUS: ALE
CEU: VIO_D11
SCI1: CTS_RTS1
SCI1: DE1
USB HS: USBHS_VBUS</t>
  </si>
  <si>
    <t>PB02</t>
  </si>
  <si>
    <t>J10</t>
  </si>
  <si>
    <t>PB03</t>
  </si>
  <si>
    <t>M15</t>
  </si>
  <si>
    <t>PB04</t>
  </si>
  <si>
    <t>H10</t>
  </si>
  <si>
    <t>PB05</t>
  </si>
  <si>
    <t>H11</t>
  </si>
  <si>
    <t>PB06</t>
  </si>
  <si>
    <t>J11</t>
  </si>
  <si>
    <t>GPT9: GTIOC9A</t>
  </si>
  <si>
    <t>PB07</t>
  </si>
  <si>
    <t>J12</t>
  </si>
  <si>
    <t>GPT9: GTIOC9B</t>
  </si>
  <si>
    <t>RES</t>
  </si>
  <si>
    <t>SYSTEM_RES</t>
  </si>
  <si>
    <t>USBHS_DM</t>
  </si>
  <si>
    <t>F15</t>
  </si>
  <si>
    <t>SYSTEM_USBHS_DM</t>
  </si>
  <si>
    <t>USBHS_DP</t>
  </si>
  <si>
    <t>F14</t>
  </si>
  <si>
    <t>SYSTEM_USBHS_DP</t>
  </si>
  <si>
    <t>USBHS_RREF</t>
  </si>
  <si>
    <t>G13</t>
  </si>
  <si>
    <t>SYSTEM_USBHS_RREF</t>
  </si>
  <si>
    <t>VBATT</t>
  </si>
  <si>
    <t>K14</t>
  </si>
  <si>
    <t>SYSTEM_VBATT</t>
  </si>
  <si>
    <t>VCC</t>
  </si>
  <si>
    <t>G12</t>
  </si>
  <si>
    <t>SYSTEM_VCC</t>
  </si>
  <si>
    <t>G9</t>
  </si>
  <si>
    <t>F12</t>
  </si>
  <si>
    <t>H9</t>
  </si>
  <si>
    <t>J6</t>
  </si>
  <si>
    <t>J9</t>
  </si>
  <si>
    <t>VCC2</t>
  </si>
  <si>
    <t>J3</t>
  </si>
  <si>
    <t>SYSTEM_VCC2</t>
  </si>
  <si>
    <t>P3</t>
  </si>
  <si>
    <t>VCC_DCDC</t>
  </si>
  <si>
    <t>G1</t>
  </si>
  <si>
    <t>SYSTEM_VCC_DCDC</t>
  </si>
  <si>
    <t>G2</t>
  </si>
  <si>
    <t>VCC_USB</t>
  </si>
  <si>
    <t>SYSTEM_VCC_USB</t>
  </si>
  <si>
    <t>VCC_USBHS</t>
  </si>
  <si>
    <t>F13</t>
  </si>
  <si>
    <t>SYSTEM_VCC_USBHS</t>
  </si>
  <si>
    <t>VCL</t>
  </si>
  <si>
    <t>SYSTEM_VCL</t>
  </si>
  <si>
    <t>R6</t>
  </si>
  <si>
    <t>F1</t>
  </si>
  <si>
    <t>G6</t>
  </si>
  <si>
    <t>H6</t>
  </si>
  <si>
    <t>K15</t>
  </si>
  <si>
    <t>VLO</t>
  </si>
  <si>
    <t>H1</t>
  </si>
  <si>
    <t>SYSTEM_VLO</t>
  </si>
  <si>
    <t>H2</t>
  </si>
  <si>
    <t>VREFH</t>
  </si>
  <si>
    <t>R8</t>
  </si>
  <si>
    <t>SYSTEM_VREFH</t>
  </si>
  <si>
    <t>VREFH0</t>
  </si>
  <si>
    <t>R9</t>
  </si>
  <si>
    <t>SYSTEM_VREFH0</t>
  </si>
  <si>
    <t>VREFL</t>
  </si>
  <si>
    <t>P8</t>
  </si>
  <si>
    <t>SYSTEM_VREFL</t>
  </si>
  <si>
    <t>VREFL0</t>
  </si>
  <si>
    <t>P9</t>
  </si>
  <si>
    <t>SYSTEM_VREFL0</t>
  </si>
  <si>
    <t>VSS</t>
  </si>
  <si>
    <t>R3</t>
  </si>
  <si>
    <t>SYSTEM_VSS</t>
  </si>
  <si>
    <t>H12</t>
  </si>
  <si>
    <t>G7</t>
  </si>
  <si>
    <t>G8</t>
  </si>
  <si>
    <t>H7</t>
  </si>
  <si>
    <t>H8</t>
  </si>
  <si>
    <t>J2</t>
  </si>
  <si>
    <t>J7</t>
  </si>
  <si>
    <t>J8</t>
  </si>
  <si>
    <t>C12</t>
  </si>
  <si>
    <t>J13</t>
  </si>
  <si>
    <t>VSS1_USBHS</t>
  </si>
  <si>
    <t>G15</t>
  </si>
  <si>
    <t>SYSTEM_VSS1_USBHS</t>
  </si>
  <si>
    <t>VSS2_USBHS</t>
  </si>
  <si>
    <t>G14</t>
  </si>
  <si>
    <t>SYSTEM_VSS2_USBHS</t>
  </si>
  <si>
    <t>VSS_DCDC</t>
  </si>
  <si>
    <t>J1</t>
  </si>
  <si>
    <t>SYSTEM_VSS_DCDC</t>
  </si>
  <si>
    <t>VSS_USB</t>
  </si>
  <si>
    <t>B13</t>
  </si>
  <si>
    <t>SYSTEM_VSS_USB</t>
  </si>
  <si>
    <t>XCIN</t>
  </si>
  <si>
    <t>J15</t>
  </si>
  <si>
    <t>CGC_XCIN</t>
  </si>
  <si>
    <t>XCOUT</t>
  </si>
  <si>
    <t>J14</t>
  </si>
  <si>
    <t>CGC_XCOUT</t>
  </si>
  <si>
    <t>J54</t>
  </si>
  <si>
    <t>J57</t>
  </si>
  <si>
    <t>3.3V</t>
  </si>
  <si>
    <t>GND</t>
  </si>
  <si>
    <t>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</si>
</sst>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7" fillId="37" borderId="0" xfId="0" applyFont="1" applyFill="1"/>
    <xf numFmtId="0" fontId="17" fillId="38" borderId="0" xfId="0" applyFont="1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BB58-15EB-4567-BC70-0EE8FA4A8CC1}">
  <sheetPr filterMode="1"/>
  <dimension ref="A1:AW225"/>
  <sheetViews>
    <sheetView topLeftCell="A104" workbookViewId="0">
      <selection activeCell="A164" sqref="A164"/>
    </sheetView>
  </sheetViews>
  <sheetFormatPr defaultRowHeight="15" x14ac:dyDescent="0.25"/>
  <cols>
    <col min="2" max="2" width="4.85546875" style="3" customWidth="1"/>
    <col min="3" max="3" width="4.140625" style="3" customWidth="1"/>
    <col min="5" max="5" width="18.5703125" customWidth="1"/>
    <col min="45" max="45" width="35.5703125" customWidth="1"/>
  </cols>
  <sheetData>
    <row r="1" spans="1:49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</row>
    <row r="2" spans="1:49" hidden="1" x14ac:dyDescent="0.25">
      <c r="A2" t="s">
        <v>46</v>
      </c>
      <c r="B2"/>
      <c r="C2"/>
      <c r="D2" t="s">
        <v>47</v>
      </c>
      <c r="E2" t="s">
        <v>48</v>
      </c>
      <c r="F2" t="s">
        <v>46</v>
      </c>
      <c r="AU2" t="s">
        <v>49</v>
      </c>
      <c r="AV2" t="s">
        <v>50</v>
      </c>
    </row>
    <row r="3" spans="1:49" hidden="1" x14ac:dyDescent="0.25">
      <c r="A3" t="s">
        <v>51</v>
      </c>
      <c r="B3"/>
      <c r="C3"/>
      <c r="D3" t="s">
        <v>52</v>
      </c>
      <c r="E3" t="s">
        <v>53</v>
      </c>
      <c r="F3" t="s">
        <v>51</v>
      </c>
      <c r="AU3" t="s">
        <v>49</v>
      </c>
      <c r="AV3" t="s">
        <v>50</v>
      </c>
    </row>
    <row r="4" spans="1:49" hidden="1" x14ac:dyDescent="0.25">
      <c r="A4" t="s">
        <v>54</v>
      </c>
      <c r="B4"/>
      <c r="C4"/>
      <c r="D4" t="s">
        <v>55</v>
      </c>
      <c r="E4" t="s">
        <v>56</v>
      </c>
      <c r="F4" t="s">
        <v>54</v>
      </c>
      <c r="AU4" t="s">
        <v>49</v>
      </c>
      <c r="AV4" t="s">
        <v>50</v>
      </c>
    </row>
    <row r="5" spans="1:49" ht="45" hidden="1" x14ac:dyDescent="0.25">
      <c r="A5" t="s">
        <v>57</v>
      </c>
      <c r="B5"/>
      <c r="C5"/>
      <c r="D5" t="s">
        <v>58</v>
      </c>
      <c r="E5" t="s">
        <v>59</v>
      </c>
      <c r="J5" t="s">
        <v>60</v>
      </c>
      <c r="AI5" t="s">
        <v>61</v>
      </c>
      <c r="AJ5" t="s">
        <v>62</v>
      </c>
      <c r="AM5" t="s">
        <v>63</v>
      </c>
      <c r="AO5" t="s">
        <v>64</v>
      </c>
      <c r="AP5" t="s">
        <v>65</v>
      </c>
      <c r="AS5" s="1" t="s">
        <v>66</v>
      </c>
      <c r="AU5" t="s">
        <v>49</v>
      </c>
    </row>
    <row r="6" spans="1:49" ht="45" hidden="1" x14ac:dyDescent="0.25">
      <c r="A6" t="s">
        <v>67</v>
      </c>
      <c r="B6"/>
      <c r="C6"/>
      <c r="D6" t="s">
        <v>68</v>
      </c>
      <c r="J6" t="s">
        <v>69</v>
      </c>
      <c r="AI6" t="s">
        <v>70</v>
      </c>
      <c r="AJ6" t="s">
        <v>71</v>
      </c>
      <c r="AM6" t="s">
        <v>72</v>
      </c>
      <c r="AP6" t="s">
        <v>73</v>
      </c>
      <c r="AS6" s="1" t="s">
        <v>74</v>
      </c>
      <c r="AU6" t="s">
        <v>64</v>
      </c>
    </row>
    <row r="7" spans="1:49" ht="45" hidden="1" x14ac:dyDescent="0.25">
      <c r="A7" t="s">
        <v>75</v>
      </c>
      <c r="B7"/>
      <c r="C7"/>
      <c r="D7" t="s">
        <v>76</v>
      </c>
      <c r="E7" t="s">
        <v>77</v>
      </c>
      <c r="J7" t="s">
        <v>78</v>
      </c>
      <c r="AI7" t="s">
        <v>79</v>
      </c>
      <c r="AJ7" t="s">
        <v>80</v>
      </c>
      <c r="AM7" t="s">
        <v>81</v>
      </c>
      <c r="AP7" t="s">
        <v>82</v>
      </c>
      <c r="AS7" s="1" t="s">
        <v>83</v>
      </c>
      <c r="AU7" t="s">
        <v>84</v>
      </c>
    </row>
    <row r="8" spans="1:49" ht="30" hidden="1" x14ac:dyDescent="0.25">
      <c r="A8" t="s">
        <v>85</v>
      </c>
      <c r="B8"/>
      <c r="C8"/>
      <c r="D8" t="s">
        <v>86</v>
      </c>
      <c r="E8" t="s">
        <v>87</v>
      </c>
      <c r="AI8" t="s">
        <v>88</v>
      </c>
      <c r="AJ8" t="s">
        <v>89</v>
      </c>
      <c r="AM8" t="s">
        <v>90</v>
      </c>
      <c r="AP8" t="s">
        <v>82</v>
      </c>
      <c r="AS8" s="1" t="s">
        <v>91</v>
      </c>
      <c r="AU8" t="s">
        <v>84</v>
      </c>
    </row>
    <row r="9" spans="1:49" ht="45" hidden="1" x14ac:dyDescent="0.25">
      <c r="A9" t="s">
        <v>92</v>
      </c>
      <c r="B9"/>
      <c r="C9"/>
      <c r="D9" t="s">
        <v>93</v>
      </c>
      <c r="E9" t="s">
        <v>94</v>
      </c>
      <c r="J9" t="s">
        <v>95</v>
      </c>
      <c r="AI9" t="s">
        <v>96</v>
      </c>
      <c r="AJ9" t="s">
        <v>97</v>
      </c>
      <c r="AM9" t="s">
        <v>98</v>
      </c>
      <c r="AP9" t="s">
        <v>82</v>
      </c>
      <c r="AS9" s="1" t="s">
        <v>99</v>
      </c>
      <c r="AU9" t="s">
        <v>84</v>
      </c>
    </row>
    <row r="10" spans="1:49" ht="30" hidden="1" x14ac:dyDescent="0.25">
      <c r="A10" t="s">
        <v>100</v>
      </c>
      <c r="B10"/>
      <c r="C10"/>
      <c r="D10" t="s">
        <v>101</v>
      </c>
      <c r="E10" t="s">
        <v>102</v>
      </c>
      <c r="J10" t="s">
        <v>103</v>
      </c>
      <c r="AI10" t="s">
        <v>104</v>
      </c>
      <c r="AM10" t="s">
        <v>105</v>
      </c>
      <c r="AP10" t="s">
        <v>82</v>
      </c>
      <c r="AS10" s="1" t="s">
        <v>106</v>
      </c>
      <c r="AU10" t="s">
        <v>84</v>
      </c>
    </row>
    <row r="11" spans="1:49" ht="45" hidden="1" x14ac:dyDescent="0.25">
      <c r="A11" t="s">
        <v>107</v>
      </c>
      <c r="B11"/>
      <c r="C11"/>
      <c r="D11" t="s">
        <v>108</v>
      </c>
      <c r="J11" t="s">
        <v>109</v>
      </c>
      <c r="AI11" t="s">
        <v>110</v>
      </c>
      <c r="AJ11" t="s">
        <v>111</v>
      </c>
      <c r="AM11" t="s">
        <v>112</v>
      </c>
      <c r="AP11" t="s">
        <v>73</v>
      </c>
      <c r="AS11" s="1" t="s">
        <v>113</v>
      </c>
      <c r="AU11" t="s">
        <v>64</v>
      </c>
    </row>
    <row r="12" spans="1:49" hidden="1" x14ac:dyDescent="0.25">
      <c r="A12" t="s">
        <v>114</v>
      </c>
      <c r="B12"/>
      <c r="C12"/>
      <c r="D12" t="s">
        <v>115</v>
      </c>
      <c r="E12" t="s">
        <v>116</v>
      </c>
      <c r="AI12" t="s">
        <v>117</v>
      </c>
      <c r="AM12" t="s">
        <v>118</v>
      </c>
      <c r="AP12" t="s">
        <v>82</v>
      </c>
      <c r="AS12" t="s">
        <v>119</v>
      </c>
      <c r="AU12" t="s">
        <v>84</v>
      </c>
    </row>
    <row r="13" spans="1:49" ht="30" hidden="1" x14ac:dyDescent="0.25">
      <c r="A13" t="s">
        <v>120</v>
      </c>
      <c r="B13"/>
      <c r="C13"/>
      <c r="D13" t="s">
        <v>121</v>
      </c>
      <c r="E13" t="s">
        <v>122</v>
      </c>
      <c r="J13" t="s">
        <v>123</v>
      </c>
      <c r="AI13" t="s">
        <v>124</v>
      </c>
      <c r="AM13" t="s">
        <v>125</v>
      </c>
      <c r="AO13" t="s">
        <v>123</v>
      </c>
      <c r="AP13" t="s">
        <v>126</v>
      </c>
      <c r="AS13" s="1" t="s">
        <v>127</v>
      </c>
      <c r="AU13" t="s">
        <v>49</v>
      </c>
    </row>
    <row r="14" spans="1:49" ht="30" hidden="1" x14ac:dyDescent="0.25">
      <c r="A14" t="s">
        <v>128</v>
      </c>
      <c r="B14"/>
      <c r="C14"/>
      <c r="D14" t="s">
        <v>129</v>
      </c>
      <c r="E14" t="s">
        <v>130</v>
      </c>
      <c r="J14" t="s">
        <v>131</v>
      </c>
      <c r="AI14" t="s">
        <v>132</v>
      </c>
      <c r="AM14" t="s">
        <v>133</v>
      </c>
      <c r="AO14" t="s">
        <v>131</v>
      </c>
      <c r="AP14" t="s">
        <v>126</v>
      </c>
      <c r="AS14" s="1" t="s">
        <v>134</v>
      </c>
      <c r="AU14" t="s">
        <v>49</v>
      </c>
    </row>
    <row r="15" spans="1:49" ht="45" hidden="1" x14ac:dyDescent="0.25">
      <c r="A15" t="s">
        <v>135</v>
      </c>
      <c r="B15"/>
      <c r="C15"/>
      <c r="D15" t="s">
        <v>136</v>
      </c>
      <c r="J15" t="s">
        <v>137</v>
      </c>
      <c r="AI15" t="s">
        <v>138</v>
      </c>
      <c r="AJ15" t="s">
        <v>139</v>
      </c>
      <c r="AM15" t="s">
        <v>140</v>
      </c>
      <c r="AP15" t="s">
        <v>73</v>
      </c>
      <c r="AS15" s="1" t="s">
        <v>141</v>
      </c>
      <c r="AU15" t="s">
        <v>64</v>
      </c>
    </row>
    <row r="16" spans="1:49" hidden="1" x14ac:dyDescent="0.25">
      <c r="A16" t="s">
        <v>142</v>
      </c>
      <c r="B16"/>
      <c r="C16"/>
      <c r="D16" t="s">
        <v>143</v>
      </c>
      <c r="E16" t="s">
        <v>144</v>
      </c>
      <c r="AI16" t="s">
        <v>145</v>
      </c>
      <c r="AP16" t="s">
        <v>82</v>
      </c>
      <c r="AS16" t="s">
        <v>146</v>
      </c>
      <c r="AU16" t="s">
        <v>84</v>
      </c>
    </row>
    <row r="17" spans="1:47" ht="30" hidden="1" x14ac:dyDescent="0.25">
      <c r="A17" t="s">
        <v>147</v>
      </c>
      <c r="B17"/>
      <c r="C17"/>
      <c r="D17" t="s">
        <v>148</v>
      </c>
      <c r="E17" t="s">
        <v>149</v>
      </c>
      <c r="AI17" t="s">
        <v>150</v>
      </c>
      <c r="AK17" t="s">
        <v>151</v>
      </c>
      <c r="AM17" t="s">
        <v>152</v>
      </c>
      <c r="AP17" t="s">
        <v>82</v>
      </c>
      <c r="AS17" s="1" t="s">
        <v>153</v>
      </c>
      <c r="AU17" t="s">
        <v>84</v>
      </c>
    </row>
    <row r="18" spans="1:47" ht="45" hidden="1" x14ac:dyDescent="0.25">
      <c r="A18" t="s">
        <v>154</v>
      </c>
      <c r="B18"/>
      <c r="C18"/>
      <c r="D18" t="s">
        <v>155</v>
      </c>
      <c r="E18" t="s">
        <v>156</v>
      </c>
      <c r="J18" t="s">
        <v>157</v>
      </c>
      <c r="AI18" t="s">
        <v>158</v>
      </c>
      <c r="AK18" t="s">
        <v>159</v>
      </c>
      <c r="AM18" t="s">
        <v>160</v>
      </c>
      <c r="AP18" t="s">
        <v>82</v>
      </c>
      <c r="AS18" s="1" t="s">
        <v>161</v>
      </c>
      <c r="AU18" t="s">
        <v>84</v>
      </c>
    </row>
    <row r="19" spans="1:47" ht="120" hidden="1" x14ac:dyDescent="0.25">
      <c r="A19" t="s">
        <v>162</v>
      </c>
      <c r="B19"/>
      <c r="C19"/>
      <c r="D19" t="s">
        <v>163</v>
      </c>
      <c r="E19" t="s">
        <v>164</v>
      </c>
      <c r="G19" t="s">
        <v>165</v>
      </c>
      <c r="H19" t="s">
        <v>166</v>
      </c>
      <c r="J19" t="s">
        <v>167</v>
      </c>
      <c r="Q19" t="s">
        <v>168</v>
      </c>
      <c r="U19" t="s">
        <v>169</v>
      </c>
      <c r="AD19" t="s">
        <v>170</v>
      </c>
      <c r="AH19" t="s">
        <v>171</v>
      </c>
      <c r="AM19" t="s">
        <v>172</v>
      </c>
      <c r="AN19" t="s">
        <v>173</v>
      </c>
      <c r="AO19" t="s">
        <v>64</v>
      </c>
      <c r="AP19" t="s">
        <v>174</v>
      </c>
      <c r="AS19" s="1" t="s">
        <v>175</v>
      </c>
      <c r="AU19" t="s">
        <v>176</v>
      </c>
    </row>
    <row r="20" spans="1:47" ht="105" hidden="1" x14ac:dyDescent="0.25">
      <c r="A20" t="s">
        <v>177</v>
      </c>
      <c r="B20"/>
      <c r="C20"/>
      <c r="D20" t="s">
        <v>178</v>
      </c>
      <c r="E20" t="s">
        <v>179</v>
      </c>
      <c r="G20" t="s">
        <v>180</v>
      </c>
      <c r="H20" t="s">
        <v>181</v>
      </c>
      <c r="J20" t="s">
        <v>182</v>
      </c>
      <c r="Q20" t="s">
        <v>183</v>
      </c>
      <c r="U20" t="s">
        <v>184</v>
      </c>
      <c r="AF20" t="s">
        <v>185</v>
      </c>
      <c r="AH20" t="s">
        <v>186</v>
      </c>
      <c r="AM20" t="s">
        <v>187</v>
      </c>
      <c r="AN20" t="s">
        <v>173</v>
      </c>
      <c r="AO20" t="s">
        <v>64</v>
      </c>
      <c r="AP20" t="s">
        <v>174</v>
      </c>
      <c r="AS20" s="1" t="s">
        <v>188</v>
      </c>
      <c r="AU20" t="s">
        <v>176</v>
      </c>
    </row>
    <row r="21" spans="1:47" ht="120" hidden="1" x14ac:dyDescent="0.25">
      <c r="A21" t="s">
        <v>189</v>
      </c>
      <c r="B21"/>
      <c r="C21"/>
      <c r="D21" t="s">
        <v>190</v>
      </c>
      <c r="E21" t="s">
        <v>191</v>
      </c>
      <c r="G21" t="s">
        <v>192</v>
      </c>
      <c r="H21" t="s">
        <v>193</v>
      </c>
      <c r="K21" t="s">
        <v>194</v>
      </c>
      <c r="Q21" t="s">
        <v>195</v>
      </c>
      <c r="S21" t="s">
        <v>196</v>
      </c>
      <c r="T21" t="s">
        <v>197</v>
      </c>
      <c r="U21" t="s">
        <v>198</v>
      </c>
      <c r="AH21" t="s">
        <v>199</v>
      </c>
      <c r="AM21" t="s">
        <v>200</v>
      </c>
      <c r="AN21" t="s">
        <v>173</v>
      </c>
      <c r="AP21" t="s">
        <v>174</v>
      </c>
      <c r="AS21" s="1" t="s">
        <v>201</v>
      </c>
      <c r="AU21" t="s">
        <v>176</v>
      </c>
    </row>
    <row r="22" spans="1:47" ht="105" hidden="1" x14ac:dyDescent="0.25">
      <c r="A22" t="s">
        <v>202</v>
      </c>
      <c r="B22"/>
      <c r="C22"/>
      <c r="D22" t="s">
        <v>203</v>
      </c>
      <c r="E22" t="s">
        <v>204</v>
      </c>
      <c r="G22" t="s">
        <v>205</v>
      </c>
      <c r="K22" t="s">
        <v>206</v>
      </c>
      <c r="Q22" t="s">
        <v>207</v>
      </c>
      <c r="T22" t="s">
        <v>208</v>
      </c>
      <c r="U22" t="s">
        <v>209</v>
      </c>
      <c r="AH22" t="s">
        <v>210</v>
      </c>
      <c r="AM22" t="s">
        <v>211</v>
      </c>
      <c r="AN22" t="s">
        <v>173</v>
      </c>
      <c r="AP22" t="s">
        <v>174</v>
      </c>
      <c r="AS22" s="1" t="s">
        <v>212</v>
      </c>
      <c r="AU22" t="s">
        <v>176</v>
      </c>
    </row>
    <row r="23" spans="1:47" ht="90" hidden="1" x14ac:dyDescent="0.25">
      <c r="A23" t="s">
        <v>213</v>
      </c>
      <c r="B23"/>
      <c r="C23"/>
      <c r="D23" t="s">
        <v>214</v>
      </c>
      <c r="E23" t="s">
        <v>215</v>
      </c>
      <c r="G23" t="s">
        <v>216</v>
      </c>
      <c r="J23" t="s">
        <v>182</v>
      </c>
      <c r="Q23" t="s">
        <v>217</v>
      </c>
      <c r="U23" t="s">
        <v>218</v>
      </c>
      <c r="AF23" t="s">
        <v>185</v>
      </c>
      <c r="AH23" t="s">
        <v>219</v>
      </c>
      <c r="AM23" t="s">
        <v>220</v>
      </c>
      <c r="AN23" t="s">
        <v>221</v>
      </c>
      <c r="AO23" t="s">
        <v>64</v>
      </c>
      <c r="AP23" t="s">
        <v>174</v>
      </c>
      <c r="AS23" s="1" t="s">
        <v>222</v>
      </c>
      <c r="AU23" t="s">
        <v>176</v>
      </c>
    </row>
    <row r="24" spans="1:47" ht="75" hidden="1" x14ac:dyDescent="0.25">
      <c r="A24" t="s">
        <v>223</v>
      </c>
      <c r="B24"/>
      <c r="C24"/>
      <c r="D24" t="s">
        <v>224</v>
      </c>
      <c r="E24" t="s">
        <v>225</v>
      </c>
      <c r="G24" t="s">
        <v>226</v>
      </c>
      <c r="J24" t="s">
        <v>227</v>
      </c>
      <c r="N24" t="s">
        <v>228</v>
      </c>
      <c r="U24" t="s">
        <v>229</v>
      </c>
      <c r="AH24" t="s">
        <v>230</v>
      </c>
      <c r="AM24" t="s">
        <v>231</v>
      </c>
      <c r="AN24" t="s">
        <v>232</v>
      </c>
      <c r="AO24" t="s">
        <v>64</v>
      </c>
      <c r="AP24" t="s">
        <v>174</v>
      </c>
      <c r="AS24" s="1" t="s">
        <v>233</v>
      </c>
      <c r="AU24" t="s">
        <v>49</v>
      </c>
    </row>
    <row r="25" spans="1:47" ht="90" hidden="1" x14ac:dyDescent="0.25">
      <c r="A25" t="s">
        <v>234</v>
      </c>
      <c r="B25"/>
      <c r="C25"/>
      <c r="D25" t="s">
        <v>235</v>
      </c>
      <c r="E25" t="s">
        <v>236</v>
      </c>
      <c r="G25" t="s">
        <v>165</v>
      </c>
      <c r="H25" t="s">
        <v>237</v>
      </c>
      <c r="K25" t="s">
        <v>194</v>
      </c>
      <c r="N25" t="s">
        <v>238</v>
      </c>
      <c r="U25" t="s">
        <v>239</v>
      </c>
      <c r="AH25" t="s">
        <v>240</v>
      </c>
      <c r="AM25" t="s">
        <v>241</v>
      </c>
      <c r="AN25" t="s">
        <v>232</v>
      </c>
      <c r="AP25" t="s">
        <v>174</v>
      </c>
      <c r="AS25" s="1" t="s">
        <v>242</v>
      </c>
      <c r="AU25" t="s">
        <v>49</v>
      </c>
    </row>
    <row r="26" spans="1:47" ht="60" hidden="1" x14ac:dyDescent="0.25">
      <c r="A26" t="s">
        <v>243</v>
      </c>
      <c r="B26"/>
      <c r="C26"/>
      <c r="D26" t="s">
        <v>244</v>
      </c>
      <c r="E26" t="s">
        <v>59</v>
      </c>
      <c r="G26" t="s">
        <v>180</v>
      </c>
      <c r="H26" t="s">
        <v>245</v>
      </c>
      <c r="K26" t="s">
        <v>206</v>
      </c>
      <c r="AH26" t="s">
        <v>246</v>
      </c>
      <c r="AM26" t="s">
        <v>247</v>
      </c>
      <c r="AN26" t="s">
        <v>232</v>
      </c>
      <c r="AP26" t="s">
        <v>248</v>
      </c>
      <c r="AS26" s="1" t="s">
        <v>249</v>
      </c>
      <c r="AU26" t="s">
        <v>49</v>
      </c>
    </row>
    <row r="27" spans="1:47" ht="165" hidden="1" x14ac:dyDescent="0.25">
      <c r="A27" t="s">
        <v>250</v>
      </c>
      <c r="B27"/>
      <c r="C27"/>
      <c r="D27" t="s">
        <v>251</v>
      </c>
      <c r="E27" t="s">
        <v>252</v>
      </c>
      <c r="G27" t="s">
        <v>253</v>
      </c>
      <c r="I27" t="s">
        <v>254</v>
      </c>
      <c r="L27" t="s">
        <v>255</v>
      </c>
      <c r="M27" t="s">
        <v>256</v>
      </c>
      <c r="N27" t="s">
        <v>257</v>
      </c>
      <c r="O27" t="s">
        <v>258</v>
      </c>
      <c r="Q27" t="s">
        <v>259</v>
      </c>
      <c r="U27" t="s">
        <v>260</v>
      </c>
      <c r="W27" t="s">
        <v>261</v>
      </c>
      <c r="AM27" t="s">
        <v>262</v>
      </c>
      <c r="AN27" t="s">
        <v>221</v>
      </c>
      <c r="AP27" t="s">
        <v>174</v>
      </c>
      <c r="AS27" s="1" t="s">
        <v>263</v>
      </c>
      <c r="AU27" t="s">
        <v>49</v>
      </c>
    </row>
    <row r="28" spans="1:47" ht="27.75" customHeight="1" x14ac:dyDescent="0.25">
      <c r="A28" t="s">
        <v>264</v>
      </c>
      <c r="B28" s="3" t="s">
        <v>1279</v>
      </c>
      <c r="C28" s="3">
        <v>15</v>
      </c>
      <c r="D28" t="s">
        <v>265</v>
      </c>
      <c r="E28" t="s">
        <v>266</v>
      </c>
      <c r="G28" t="s">
        <v>205</v>
      </c>
      <c r="I28" t="s">
        <v>267</v>
      </c>
      <c r="L28" s="4" t="s">
        <v>268</v>
      </c>
      <c r="M28" t="s">
        <v>269</v>
      </c>
      <c r="N28" t="s">
        <v>270</v>
      </c>
      <c r="O28" t="s">
        <v>267</v>
      </c>
      <c r="Q28" t="s">
        <v>271</v>
      </c>
      <c r="U28" t="s">
        <v>272</v>
      </c>
      <c r="W28" t="s">
        <v>273</v>
      </c>
      <c r="AN28" t="s">
        <v>274</v>
      </c>
      <c r="AP28" t="s">
        <v>174</v>
      </c>
      <c r="AS28" s="1" t="s">
        <v>275</v>
      </c>
      <c r="AU28" t="s">
        <v>176</v>
      </c>
    </row>
    <row r="29" spans="1:47" ht="135" hidden="1" x14ac:dyDescent="0.25">
      <c r="A29" t="s">
        <v>276</v>
      </c>
      <c r="B29"/>
      <c r="C29"/>
      <c r="D29" t="s">
        <v>277</v>
      </c>
      <c r="E29" t="s">
        <v>278</v>
      </c>
      <c r="G29" t="s">
        <v>192</v>
      </c>
      <c r="I29" t="s">
        <v>279</v>
      </c>
      <c r="L29" t="s">
        <v>280</v>
      </c>
      <c r="M29" t="s">
        <v>281</v>
      </c>
      <c r="O29" t="s">
        <v>279</v>
      </c>
      <c r="Q29" t="s">
        <v>282</v>
      </c>
      <c r="U29" t="s">
        <v>283</v>
      </c>
      <c r="W29" t="s">
        <v>284</v>
      </c>
      <c r="AM29" t="s">
        <v>285</v>
      </c>
      <c r="AN29" t="s">
        <v>232</v>
      </c>
      <c r="AP29" t="s">
        <v>174</v>
      </c>
      <c r="AS29" s="1" t="s">
        <v>286</v>
      </c>
      <c r="AU29" t="s">
        <v>49</v>
      </c>
    </row>
    <row r="30" spans="1:47" ht="105" hidden="1" x14ac:dyDescent="0.25">
      <c r="A30" t="s">
        <v>287</v>
      </c>
      <c r="B30"/>
      <c r="C30"/>
      <c r="D30" t="s">
        <v>288</v>
      </c>
      <c r="G30" t="s">
        <v>289</v>
      </c>
      <c r="I30" t="s">
        <v>290</v>
      </c>
      <c r="M30" t="s">
        <v>291</v>
      </c>
      <c r="O30" t="s">
        <v>290</v>
      </c>
      <c r="Q30" t="s">
        <v>292</v>
      </c>
      <c r="U30" t="s">
        <v>293</v>
      </c>
      <c r="W30" t="s">
        <v>294</v>
      </c>
      <c r="AM30" t="s">
        <v>295</v>
      </c>
      <c r="AP30" t="s">
        <v>73</v>
      </c>
      <c r="AS30" s="1" t="s">
        <v>296</v>
      </c>
      <c r="AU30" t="s">
        <v>64</v>
      </c>
    </row>
    <row r="31" spans="1:47" hidden="1" x14ac:dyDescent="0.25">
      <c r="A31" t="s">
        <v>297</v>
      </c>
      <c r="B31"/>
      <c r="C31"/>
      <c r="D31" t="s">
        <v>298</v>
      </c>
      <c r="J31" t="s">
        <v>299</v>
      </c>
      <c r="AM31" t="s">
        <v>299</v>
      </c>
      <c r="AP31" t="s">
        <v>73</v>
      </c>
      <c r="AS31" t="s">
        <v>300</v>
      </c>
      <c r="AU31" t="s">
        <v>64</v>
      </c>
    </row>
    <row r="32" spans="1:47" hidden="1" x14ac:dyDescent="0.25">
      <c r="A32" t="s">
        <v>301</v>
      </c>
      <c r="B32"/>
      <c r="C32"/>
      <c r="D32" t="s">
        <v>302</v>
      </c>
      <c r="F32" t="s">
        <v>303</v>
      </c>
      <c r="AM32" t="s">
        <v>303</v>
      </c>
      <c r="AP32" t="s">
        <v>73</v>
      </c>
      <c r="AS32" t="s">
        <v>304</v>
      </c>
      <c r="AU32" t="s">
        <v>64</v>
      </c>
    </row>
    <row r="33" spans="1:47" ht="90" hidden="1" x14ac:dyDescent="0.25">
      <c r="A33" t="s">
        <v>305</v>
      </c>
      <c r="B33"/>
      <c r="C33"/>
      <c r="D33" t="s">
        <v>306</v>
      </c>
      <c r="G33" t="s">
        <v>307</v>
      </c>
      <c r="J33" t="s">
        <v>308</v>
      </c>
      <c r="N33" t="s">
        <v>309</v>
      </c>
      <c r="P33" t="s">
        <v>310</v>
      </c>
      <c r="T33" t="s">
        <v>197</v>
      </c>
      <c r="U33" t="s">
        <v>293</v>
      </c>
      <c r="AP33" t="s">
        <v>73</v>
      </c>
      <c r="AS33" s="1" t="s">
        <v>311</v>
      </c>
      <c r="AU33" t="s">
        <v>64</v>
      </c>
    </row>
    <row r="34" spans="1:47" ht="90" hidden="1" x14ac:dyDescent="0.25">
      <c r="A34" t="s">
        <v>312</v>
      </c>
      <c r="B34"/>
      <c r="C34"/>
      <c r="D34" t="s">
        <v>313</v>
      </c>
      <c r="G34" t="s">
        <v>289</v>
      </c>
      <c r="J34" t="s">
        <v>314</v>
      </c>
      <c r="N34" t="s">
        <v>315</v>
      </c>
      <c r="P34" t="s">
        <v>316</v>
      </c>
      <c r="T34" t="s">
        <v>208</v>
      </c>
      <c r="U34" t="s">
        <v>317</v>
      </c>
      <c r="AP34" t="s">
        <v>73</v>
      </c>
      <c r="AS34" s="1" t="s">
        <v>318</v>
      </c>
      <c r="AU34" t="s">
        <v>64</v>
      </c>
    </row>
    <row r="35" spans="1:47" ht="150" hidden="1" x14ac:dyDescent="0.25">
      <c r="A35" t="s">
        <v>319</v>
      </c>
      <c r="B35"/>
      <c r="C35"/>
      <c r="D35" t="s">
        <v>320</v>
      </c>
      <c r="G35" t="s">
        <v>321</v>
      </c>
      <c r="H35" t="s">
        <v>322</v>
      </c>
      <c r="K35" t="s">
        <v>323</v>
      </c>
      <c r="P35" t="s">
        <v>324</v>
      </c>
      <c r="Q35" t="s">
        <v>325</v>
      </c>
      <c r="U35" t="s">
        <v>283</v>
      </c>
      <c r="V35" t="s">
        <v>326</v>
      </c>
      <c r="W35" t="s">
        <v>327</v>
      </c>
      <c r="X35" t="s">
        <v>328</v>
      </c>
      <c r="AP35" t="s">
        <v>73</v>
      </c>
      <c r="AS35" s="1" t="s">
        <v>329</v>
      </c>
      <c r="AU35" t="s">
        <v>64</v>
      </c>
    </row>
    <row r="36" spans="1:47" ht="165" hidden="1" x14ac:dyDescent="0.25">
      <c r="A36" t="s">
        <v>330</v>
      </c>
      <c r="B36"/>
      <c r="C36"/>
      <c r="D36" t="s">
        <v>331</v>
      </c>
      <c r="G36" t="s">
        <v>332</v>
      </c>
      <c r="H36" t="s">
        <v>333</v>
      </c>
      <c r="J36" t="s">
        <v>334</v>
      </c>
      <c r="K36" t="s">
        <v>335</v>
      </c>
      <c r="P36" t="s">
        <v>336</v>
      </c>
      <c r="Q36" t="s">
        <v>337</v>
      </c>
      <c r="U36" t="s">
        <v>272</v>
      </c>
      <c r="V36" t="s">
        <v>338</v>
      </c>
      <c r="W36" t="s">
        <v>339</v>
      </c>
      <c r="Y36" t="s">
        <v>340</v>
      </c>
      <c r="Z36" t="s">
        <v>23</v>
      </c>
      <c r="AP36" t="s">
        <v>73</v>
      </c>
      <c r="AS36" s="1" t="s">
        <v>341</v>
      </c>
      <c r="AU36" t="s">
        <v>64</v>
      </c>
    </row>
    <row r="37" spans="1:47" ht="135" hidden="1" x14ac:dyDescent="0.25">
      <c r="A37" t="s">
        <v>342</v>
      </c>
      <c r="B37"/>
      <c r="C37"/>
      <c r="D37" t="s">
        <v>343</v>
      </c>
      <c r="J37" t="s">
        <v>344</v>
      </c>
      <c r="K37" t="s">
        <v>345</v>
      </c>
      <c r="L37" t="s">
        <v>346</v>
      </c>
      <c r="P37" t="s">
        <v>347</v>
      </c>
      <c r="Q37" t="s">
        <v>348</v>
      </c>
      <c r="U37" t="s">
        <v>260</v>
      </c>
      <c r="V37" t="s">
        <v>349</v>
      </c>
      <c r="W37" t="s">
        <v>350</v>
      </c>
      <c r="Y37" t="s">
        <v>351</v>
      </c>
      <c r="AP37" t="s">
        <v>73</v>
      </c>
      <c r="AS37" s="1" t="s">
        <v>352</v>
      </c>
      <c r="AU37" t="s">
        <v>64</v>
      </c>
    </row>
    <row r="38" spans="1:47" hidden="1" x14ac:dyDescent="0.25">
      <c r="A38" t="s">
        <v>353</v>
      </c>
      <c r="B38"/>
      <c r="C38"/>
      <c r="D38" t="s">
        <v>354</v>
      </c>
      <c r="AM38" t="s">
        <v>355</v>
      </c>
      <c r="AP38" t="s">
        <v>73</v>
      </c>
      <c r="AU38" t="s">
        <v>64</v>
      </c>
    </row>
    <row r="39" spans="1:47" ht="105" hidden="1" x14ac:dyDescent="0.25">
      <c r="A39" t="s">
        <v>356</v>
      </c>
      <c r="B39"/>
      <c r="C39"/>
      <c r="D39" t="s">
        <v>357</v>
      </c>
      <c r="E39" t="s">
        <v>358</v>
      </c>
      <c r="G39" t="s">
        <v>216</v>
      </c>
      <c r="J39" t="s">
        <v>359</v>
      </c>
      <c r="K39" t="s">
        <v>360</v>
      </c>
      <c r="Q39" t="s">
        <v>183</v>
      </c>
      <c r="T39" t="s">
        <v>361</v>
      </c>
      <c r="Z39" t="s">
        <v>362</v>
      </c>
      <c r="AB39" t="s">
        <v>363</v>
      </c>
      <c r="AM39" t="s">
        <v>363</v>
      </c>
      <c r="AN39" t="s">
        <v>232</v>
      </c>
      <c r="AO39" t="s">
        <v>64</v>
      </c>
      <c r="AP39" t="s">
        <v>174</v>
      </c>
      <c r="AS39" s="1" t="s">
        <v>364</v>
      </c>
      <c r="AU39" t="s">
        <v>49</v>
      </c>
    </row>
    <row r="40" spans="1:47" ht="105" hidden="1" x14ac:dyDescent="0.25">
      <c r="A40" t="s">
        <v>365</v>
      </c>
      <c r="B40"/>
      <c r="C40"/>
      <c r="D40" t="s">
        <v>366</v>
      </c>
      <c r="E40" t="s">
        <v>367</v>
      </c>
      <c r="F40" t="s">
        <v>368</v>
      </c>
      <c r="G40" t="s">
        <v>226</v>
      </c>
      <c r="K40" t="s">
        <v>369</v>
      </c>
      <c r="Q40" t="s">
        <v>195</v>
      </c>
      <c r="T40" t="s">
        <v>370</v>
      </c>
      <c r="Z40" t="s">
        <v>23</v>
      </c>
      <c r="AB40" t="s">
        <v>371</v>
      </c>
      <c r="AM40" t="s">
        <v>371</v>
      </c>
      <c r="AN40" t="s">
        <v>232</v>
      </c>
      <c r="AP40" t="s">
        <v>174</v>
      </c>
      <c r="AS40" s="1" t="s">
        <v>372</v>
      </c>
      <c r="AU40" t="s">
        <v>49</v>
      </c>
    </row>
    <row r="41" spans="1:47" ht="90" hidden="1" x14ac:dyDescent="0.25">
      <c r="A41" t="s">
        <v>373</v>
      </c>
      <c r="B41"/>
      <c r="C41"/>
      <c r="D41" t="s">
        <v>374</v>
      </c>
      <c r="E41" t="s">
        <v>375</v>
      </c>
      <c r="G41" t="s">
        <v>376</v>
      </c>
      <c r="K41" t="s">
        <v>377</v>
      </c>
      <c r="Q41" t="s">
        <v>207</v>
      </c>
      <c r="AB41" t="s">
        <v>378</v>
      </c>
      <c r="AM41" t="s">
        <v>379</v>
      </c>
      <c r="AN41" t="s">
        <v>232</v>
      </c>
      <c r="AP41" t="s">
        <v>174</v>
      </c>
      <c r="AS41" s="1" t="s">
        <v>380</v>
      </c>
      <c r="AU41" t="s">
        <v>49</v>
      </c>
    </row>
    <row r="42" spans="1:47" ht="90" hidden="1" x14ac:dyDescent="0.25">
      <c r="A42" t="s">
        <v>381</v>
      </c>
      <c r="B42"/>
      <c r="C42"/>
      <c r="D42" t="s">
        <v>382</v>
      </c>
      <c r="E42" t="s">
        <v>383</v>
      </c>
      <c r="G42" t="s">
        <v>384</v>
      </c>
      <c r="K42" t="s">
        <v>385</v>
      </c>
      <c r="Q42" t="s">
        <v>386</v>
      </c>
      <c r="AB42" t="s">
        <v>387</v>
      </c>
      <c r="AM42" t="s">
        <v>388</v>
      </c>
      <c r="AN42" t="s">
        <v>232</v>
      </c>
      <c r="AP42" t="s">
        <v>174</v>
      </c>
      <c r="AS42" s="1" t="s">
        <v>389</v>
      </c>
      <c r="AU42" t="s">
        <v>49</v>
      </c>
    </row>
    <row r="43" spans="1:47" ht="90" hidden="1" x14ac:dyDescent="0.25">
      <c r="A43" t="s">
        <v>390</v>
      </c>
      <c r="B43"/>
      <c r="C43"/>
      <c r="D43" t="s">
        <v>391</v>
      </c>
      <c r="F43" t="s">
        <v>392</v>
      </c>
      <c r="G43" t="s">
        <v>376</v>
      </c>
      <c r="H43" t="s">
        <v>393</v>
      </c>
      <c r="J43" t="s">
        <v>359</v>
      </c>
      <c r="Q43" t="s">
        <v>394</v>
      </c>
      <c r="AG43" t="s">
        <v>395</v>
      </c>
      <c r="AM43" t="s">
        <v>392</v>
      </c>
      <c r="AP43" t="s">
        <v>73</v>
      </c>
      <c r="AS43" s="1" t="s">
        <v>396</v>
      </c>
      <c r="AU43" t="s">
        <v>64</v>
      </c>
    </row>
    <row r="44" spans="1:47" ht="105" hidden="1" x14ac:dyDescent="0.25">
      <c r="A44" t="s">
        <v>397</v>
      </c>
      <c r="B44"/>
      <c r="C44"/>
      <c r="D44" t="s">
        <v>398</v>
      </c>
      <c r="F44" t="s">
        <v>399</v>
      </c>
      <c r="G44" t="s">
        <v>384</v>
      </c>
      <c r="J44" t="s">
        <v>167</v>
      </c>
      <c r="N44" t="s">
        <v>400</v>
      </c>
      <c r="Q44" t="s">
        <v>401</v>
      </c>
      <c r="S44" t="s">
        <v>402</v>
      </c>
      <c r="AE44" t="s">
        <v>403</v>
      </c>
      <c r="AM44" t="s">
        <v>399</v>
      </c>
      <c r="AP44" t="s">
        <v>73</v>
      </c>
      <c r="AS44" s="1" t="s">
        <v>404</v>
      </c>
      <c r="AU44" t="s">
        <v>64</v>
      </c>
    </row>
    <row r="45" spans="1:47" ht="165" hidden="1" x14ac:dyDescent="0.25">
      <c r="A45" t="s">
        <v>405</v>
      </c>
      <c r="B45"/>
      <c r="C45"/>
      <c r="D45" t="s">
        <v>406</v>
      </c>
      <c r="E45" t="s">
        <v>407</v>
      </c>
      <c r="G45" t="s">
        <v>408</v>
      </c>
      <c r="I45" t="s">
        <v>409</v>
      </c>
      <c r="J45" t="s">
        <v>410</v>
      </c>
      <c r="L45" t="s">
        <v>411</v>
      </c>
      <c r="M45" t="s">
        <v>412</v>
      </c>
      <c r="N45" t="s">
        <v>413</v>
      </c>
      <c r="O45" t="s">
        <v>414</v>
      </c>
      <c r="Q45" t="s">
        <v>415</v>
      </c>
      <c r="U45" t="s">
        <v>416</v>
      </c>
      <c r="AM45" t="s">
        <v>417</v>
      </c>
      <c r="AN45" t="s">
        <v>221</v>
      </c>
      <c r="AO45" t="s">
        <v>64</v>
      </c>
      <c r="AP45" t="s">
        <v>174</v>
      </c>
      <c r="AS45" s="1" t="s">
        <v>418</v>
      </c>
      <c r="AU45" t="s">
        <v>49</v>
      </c>
    </row>
    <row r="46" spans="1:47" ht="150" hidden="1" x14ac:dyDescent="0.25">
      <c r="A46" t="s">
        <v>419</v>
      </c>
      <c r="B46"/>
      <c r="C46"/>
      <c r="D46" t="s">
        <v>420</v>
      </c>
      <c r="E46" t="s">
        <v>421</v>
      </c>
      <c r="G46" t="s">
        <v>321</v>
      </c>
      <c r="H46" t="s">
        <v>166</v>
      </c>
      <c r="I46" t="s">
        <v>422</v>
      </c>
      <c r="J46" t="s">
        <v>423</v>
      </c>
      <c r="K46" t="s">
        <v>377</v>
      </c>
      <c r="L46" t="s">
        <v>420</v>
      </c>
      <c r="M46" t="s">
        <v>420</v>
      </c>
      <c r="N46" t="s">
        <v>424</v>
      </c>
      <c r="O46" t="s">
        <v>425</v>
      </c>
      <c r="P46" t="s">
        <v>336</v>
      </c>
      <c r="AM46" t="s">
        <v>426</v>
      </c>
      <c r="AN46" t="s">
        <v>221</v>
      </c>
      <c r="AO46" t="s">
        <v>64</v>
      </c>
      <c r="AP46" t="s">
        <v>174</v>
      </c>
      <c r="AS46" s="1" t="s">
        <v>427</v>
      </c>
      <c r="AU46" t="s">
        <v>49</v>
      </c>
    </row>
    <row r="47" spans="1:47" ht="135" hidden="1" x14ac:dyDescent="0.25">
      <c r="A47" t="s">
        <v>428</v>
      </c>
      <c r="B47"/>
      <c r="C47"/>
      <c r="D47" t="s">
        <v>429</v>
      </c>
      <c r="E47" t="s">
        <v>430</v>
      </c>
      <c r="G47" t="s">
        <v>332</v>
      </c>
      <c r="I47" t="s">
        <v>431</v>
      </c>
      <c r="J47" t="s">
        <v>432</v>
      </c>
      <c r="K47" t="s">
        <v>385</v>
      </c>
      <c r="L47" t="s">
        <v>433</v>
      </c>
      <c r="M47" t="s">
        <v>433</v>
      </c>
      <c r="N47" t="s">
        <v>434</v>
      </c>
      <c r="O47" t="s">
        <v>435</v>
      </c>
      <c r="P47" t="s">
        <v>347</v>
      </c>
      <c r="AM47" t="s">
        <v>436</v>
      </c>
      <c r="AN47" t="s">
        <v>221</v>
      </c>
      <c r="AO47" t="s">
        <v>64</v>
      </c>
      <c r="AP47" t="s">
        <v>174</v>
      </c>
      <c r="AS47" s="1" t="s">
        <v>437</v>
      </c>
      <c r="AU47" t="s">
        <v>49</v>
      </c>
    </row>
    <row r="48" spans="1:47" ht="90" hidden="1" x14ac:dyDescent="0.25">
      <c r="A48" t="s">
        <v>438</v>
      </c>
      <c r="B48"/>
      <c r="C48"/>
      <c r="D48" t="s">
        <v>439</v>
      </c>
      <c r="E48" t="s">
        <v>440</v>
      </c>
      <c r="G48" t="s">
        <v>441</v>
      </c>
      <c r="I48" t="s">
        <v>442</v>
      </c>
      <c r="L48" t="s">
        <v>443</v>
      </c>
      <c r="M48" t="s">
        <v>443</v>
      </c>
      <c r="O48" t="s">
        <v>444</v>
      </c>
      <c r="P48" t="s">
        <v>445</v>
      </c>
      <c r="AM48" t="s">
        <v>446</v>
      </c>
      <c r="AN48" t="s">
        <v>221</v>
      </c>
      <c r="AP48" t="s">
        <v>174</v>
      </c>
      <c r="AS48" s="1" t="s">
        <v>447</v>
      </c>
      <c r="AU48" t="s">
        <v>49</v>
      </c>
    </row>
    <row r="49" spans="1:47" ht="150" hidden="1" x14ac:dyDescent="0.25">
      <c r="A49" t="s">
        <v>448</v>
      </c>
      <c r="B49"/>
      <c r="C49"/>
      <c r="D49" t="s">
        <v>433</v>
      </c>
      <c r="E49" t="s">
        <v>449</v>
      </c>
      <c r="F49" t="s">
        <v>450</v>
      </c>
      <c r="G49" t="s">
        <v>451</v>
      </c>
      <c r="I49" t="s">
        <v>452</v>
      </c>
      <c r="J49" t="s">
        <v>453</v>
      </c>
      <c r="K49" t="s">
        <v>360</v>
      </c>
      <c r="L49" t="s">
        <v>454</v>
      </c>
      <c r="M49" t="s">
        <v>454</v>
      </c>
      <c r="N49" t="s">
        <v>455</v>
      </c>
      <c r="O49" t="s">
        <v>456</v>
      </c>
      <c r="P49" t="s">
        <v>457</v>
      </c>
      <c r="AM49" t="s">
        <v>458</v>
      </c>
      <c r="AN49" t="s">
        <v>221</v>
      </c>
      <c r="AO49" t="s">
        <v>64</v>
      </c>
      <c r="AP49" t="s">
        <v>174</v>
      </c>
      <c r="AS49" s="1" t="s">
        <v>459</v>
      </c>
      <c r="AU49" t="s">
        <v>49</v>
      </c>
    </row>
    <row r="50" spans="1:47" ht="135" hidden="1" x14ac:dyDescent="0.25">
      <c r="A50" t="s">
        <v>460</v>
      </c>
      <c r="B50"/>
      <c r="C50"/>
      <c r="D50" t="s">
        <v>461</v>
      </c>
      <c r="E50" t="s">
        <v>462</v>
      </c>
      <c r="F50" t="s">
        <v>463</v>
      </c>
      <c r="I50" t="s">
        <v>464</v>
      </c>
      <c r="J50" t="s">
        <v>465</v>
      </c>
      <c r="K50" t="s">
        <v>369</v>
      </c>
      <c r="L50" t="s">
        <v>466</v>
      </c>
      <c r="M50" t="s">
        <v>466</v>
      </c>
      <c r="N50" t="s">
        <v>467</v>
      </c>
      <c r="O50" t="s">
        <v>468</v>
      </c>
      <c r="P50" t="s">
        <v>469</v>
      </c>
      <c r="AM50" t="s">
        <v>470</v>
      </c>
      <c r="AN50" t="s">
        <v>221</v>
      </c>
      <c r="AO50" t="s">
        <v>64</v>
      </c>
      <c r="AP50" t="s">
        <v>174</v>
      </c>
      <c r="AS50" s="1" t="s">
        <v>471</v>
      </c>
      <c r="AU50" t="s">
        <v>49</v>
      </c>
    </row>
    <row r="51" spans="1:47" ht="120" hidden="1" x14ac:dyDescent="0.25">
      <c r="A51" t="s">
        <v>472</v>
      </c>
      <c r="B51"/>
      <c r="C51"/>
      <c r="D51" t="s">
        <v>443</v>
      </c>
      <c r="E51" t="s">
        <v>473</v>
      </c>
      <c r="F51" t="s">
        <v>474</v>
      </c>
      <c r="I51" t="s">
        <v>475</v>
      </c>
      <c r="K51" t="s">
        <v>323</v>
      </c>
      <c r="L51" t="s">
        <v>476</v>
      </c>
      <c r="M51" t="s">
        <v>476</v>
      </c>
      <c r="N51" t="s">
        <v>477</v>
      </c>
      <c r="O51" t="s">
        <v>478</v>
      </c>
      <c r="P51" t="s">
        <v>479</v>
      </c>
      <c r="AM51" t="s">
        <v>480</v>
      </c>
      <c r="AN51" t="s">
        <v>221</v>
      </c>
      <c r="AP51" t="s">
        <v>174</v>
      </c>
      <c r="AS51" s="1" t="s">
        <v>481</v>
      </c>
      <c r="AU51" t="s">
        <v>49</v>
      </c>
    </row>
    <row r="52" spans="1:47" ht="120" hidden="1" x14ac:dyDescent="0.25">
      <c r="A52" t="s">
        <v>482</v>
      </c>
      <c r="B52"/>
      <c r="C52"/>
      <c r="D52" t="s">
        <v>483</v>
      </c>
      <c r="E52" t="s">
        <v>484</v>
      </c>
      <c r="F52" t="s">
        <v>485</v>
      </c>
      <c r="I52" t="s">
        <v>486</v>
      </c>
      <c r="K52" t="s">
        <v>335</v>
      </c>
      <c r="L52" t="s">
        <v>487</v>
      </c>
      <c r="M52" t="s">
        <v>487</v>
      </c>
      <c r="N52" t="s">
        <v>315</v>
      </c>
      <c r="O52" t="s">
        <v>486</v>
      </c>
      <c r="P52" t="s">
        <v>488</v>
      </c>
      <c r="AM52" t="s">
        <v>489</v>
      </c>
      <c r="AN52" t="s">
        <v>274</v>
      </c>
      <c r="AP52" t="s">
        <v>174</v>
      </c>
      <c r="AS52" s="1" t="s">
        <v>490</v>
      </c>
      <c r="AU52" t="s">
        <v>49</v>
      </c>
    </row>
    <row r="53" spans="1:47" ht="135" hidden="1" x14ac:dyDescent="0.25">
      <c r="A53" t="s">
        <v>491</v>
      </c>
      <c r="B53"/>
      <c r="C53"/>
      <c r="D53" t="s">
        <v>454</v>
      </c>
      <c r="E53" t="s">
        <v>492</v>
      </c>
      <c r="F53" t="s">
        <v>493</v>
      </c>
      <c r="I53" t="s">
        <v>494</v>
      </c>
      <c r="K53" t="s">
        <v>345</v>
      </c>
      <c r="L53" t="s">
        <v>495</v>
      </c>
      <c r="M53" t="s">
        <v>495</v>
      </c>
      <c r="N53" t="s">
        <v>309</v>
      </c>
      <c r="O53" t="s">
        <v>494</v>
      </c>
      <c r="P53" t="s">
        <v>496</v>
      </c>
      <c r="Q53" t="s">
        <v>217</v>
      </c>
      <c r="AM53" t="s">
        <v>497</v>
      </c>
      <c r="AN53" t="s">
        <v>274</v>
      </c>
      <c r="AP53" t="s">
        <v>174</v>
      </c>
      <c r="AS53" s="1" t="s">
        <v>498</v>
      </c>
      <c r="AU53" t="s">
        <v>49</v>
      </c>
    </row>
    <row r="54" spans="1:47" ht="60" hidden="1" x14ac:dyDescent="0.25">
      <c r="A54" t="s">
        <v>499</v>
      </c>
      <c r="B54"/>
      <c r="C54"/>
      <c r="D54" t="s">
        <v>500</v>
      </c>
      <c r="L54" t="s">
        <v>501</v>
      </c>
      <c r="M54" t="s">
        <v>501</v>
      </c>
      <c r="O54" t="s">
        <v>502</v>
      </c>
      <c r="Q54" t="s">
        <v>503</v>
      </c>
      <c r="AM54" t="s">
        <v>504</v>
      </c>
      <c r="AP54" t="s">
        <v>73</v>
      </c>
      <c r="AS54" s="1" t="s">
        <v>505</v>
      </c>
      <c r="AU54" t="s">
        <v>64</v>
      </c>
    </row>
    <row r="55" spans="1:47" ht="75" hidden="1" x14ac:dyDescent="0.25">
      <c r="A55" t="s">
        <v>506</v>
      </c>
      <c r="B55"/>
      <c r="C55"/>
      <c r="D55" t="s">
        <v>507</v>
      </c>
      <c r="H55" t="s">
        <v>393</v>
      </c>
      <c r="L55" t="s">
        <v>306</v>
      </c>
      <c r="M55" t="s">
        <v>306</v>
      </c>
      <c r="O55" t="s">
        <v>508</v>
      </c>
      <c r="Q55" t="s">
        <v>509</v>
      </c>
      <c r="AM55" t="s">
        <v>510</v>
      </c>
      <c r="AP55" t="s">
        <v>73</v>
      </c>
      <c r="AS55" s="1" t="s">
        <v>511</v>
      </c>
      <c r="AU55" t="s">
        <v>64</v>
      </c>
    </row>
    <row r="56" spans="1:47" ht="120" hidden="1" x14ac:dyDescent="0.25">
      <c r="A56" t="s">
        <v>512</v>
      </c>
      <c r="B56"/>
      <c r="C56"/>
      <c r="D56" t="s">
        <v>513</v>
      </c>
      <c r="H56" t="s">
        <v>514</v>
      </c>
      <c r="K56" t="s">
        <v>515</v>
      </c>
      <c r="L56" t="s">
        <v>320</v>
      </c>
      <c r="M56" t="s">
        <v>320</v>
      </c>
      <c r="O56" t="s">
        <v>516</v>
      </c>
      <c r="Q56" t="s">
        <v>517</v>
      </c>
      <c r="T56" t="s">
        <v>197</v>
      </c>
      <c r="AM56" t="s">
        <v>518</v>
      </c>
      <c r="AP56" t="s">
        <v>73</v>
      </c>
      <c r="AS56" s="1" t="s">
        <v>519</v>
      </c>
      <c r="AU56" t="s">
        <v>64</v>
      </c>
    </row>
    <row r="57" spans="1:47" ht="120" hidden="1" x14ac:dyDescent="0.25">
      <c r="A57" t="s">
        <v>520</v>
      </c>
      <c r="B57"/>
      <c r="C57"/>
      <c r="D57" t="s">
        <v>521</v>
      </c>
      <c r="H57" t="s">
        <v>522</v>
      </c>
      <c r="K57" t="s">
        <v>523</v>
      </c>
      <c r="L57" t="s">
        <v>524</v>
      </c>
      <c r="M57" t="s">
        <v>524</v>
      </c>
      <c r="O57" t="s">
        <v>525</v>
      </c>
      <c r="Q57" t="s">
        <v>526</v>
      </c>
      <c r="T57" t="s">
        <v>208</v>
      </c>
      <c r="AM57" t="s">
        <v>527</v>
      </c>
      <c r="AP57" t="s">
        <v>73</v>
      </c>
      <c r="AS57" s="1" t="s">
        <v>528</v>
      </c>
      <c r="AU57" t="s">
        <v>64</v>
      </c>
    </row>
    <row r="58" spans="1:47" ht="45" hidden="1" x14ac:dyDescent="0.25">
      <c r="A58" t="s">
        <v>529</v>
      </c>
      <c r="B58"/>
      <c r="C58"/>
      <c r="D58" t="s">
        <v>530</v>
      </c>
      <c r="P58" t="s">
        <v>531</v>
      </c>
      <c r="Q58" t="s">
        <v>532</v>
      </c>
      <c r="U58" t="s">
        <v>533</v>
      </c>
      <c r="AP58" t="s">
        <v>73</v>
      </c>
      <c r="AS58" s="1" t="s">
        <v>534</v>
      </c>
      <c r="AU58" t="s">
        <v>64</v>
      </c>
    </row>
    <row r="59" spans="1:47" ht="45" hidden="1" x14ac:dyDescent="0.25">
      <c r="A59" t="s">
        <v>535</v>
      </c>
      <c r="B59"/>
      <c r="C59"/>
      <c r="D59" t="s">
        <v>501</v>
      </c>
      <c r="Q59" t="s">
        <v>526</v>
      </c>
      <c r="S59" t="s">
        <v>196</v>
      </c>
      <c r="AP59" t="s">
        <v>73</v>
      </c>
      <c r="AS59" s="1" t="s">
        <v>536</v>
      </c>
      <c r="AU59" t="s">
        <v>64</v>
      </c>
    </row>
    <row r="60" spans="1:47" ht="30" hidden="1" x14ac:dyDescent="0.25">
      <c r="A60" t="s">
        <v>537</v>
      </c>
      <c r="B60"/>
      <c r="C60"/>
      <c r="D60" t="s">
        <v>538</v>
      </c>
      <c r="Q60" t="s">
        <v>539</v>
      </c>
      <c r="AP60" t="s">
        <v>73</v>
      </c>
      <c r="AS60" s="1" t="s">
        <v>540</v>
      </c>
      <c r="AU60" t="s">
        <v>64</v>
      </c>
    </row>
    <row r="61" spans="1:47" ht="165" hidden="1" x14ac:dyDescent="0.25">
      <c r="A61" t="s">
        <v>541</v>
      </c>
      <c r="B61"/>
      <c r="C61"/>
      <c r="D61" t="s">
        <v>542</v>
      </c>
      <c r="G61" t="s">
        <v>543</v>
      </c>
      <c r="H61" t="s">
        <v>322</v>
      </c>
      <c r="I61" t="s">
        <v>290</v>
      </c>
      <c r="J61" t="s">
        <v>227</v>
      </c>
      <c r="O61" t="s">
        <v>290</v>
      </c>
      <c r="P61" t="s">
        <v>544</v>
      </c>
      <c r="Q61" t="s">
        <v>401</v>
      </c>
      <c r="S61" t="s">
        <v>402</v>
      </c>
      <c r="W61" t="s">
        <v>545</v>
      </c>
      <c r="AA61" t="s">
        <v>546</v>
      </c>
      <c r="AL61" t="s">
        <v>547</v>
      </c>
      <c r="AM61" t="s">
        <v>548</v>
      </c>
      <c r="AP61" t="s">
        <v>73</v>
      </c>
      <c r="AS61" s="1" t="s">
        <v>549</v>
      </c>
      <c r="AU61" t="s">
        <v>64</v>
      </c>
    </row>
    <row r="62" spans="1:47" ht="150" hidden="1" x14ac:dyDescent="0.25">
      <c r="A62" t="s">
        <v>550</v>
      </c>
      <c r="B62"/>
      <c r="C62"/>
      <c r="D62" t="s">
        <v>551</v>
      </c>
      <c r="G62" t="s">
        <v>552</v>
      </c>
      <c r="I62" t="s">
        <v>494</v>
      </c>
      <c r="J62" t="s">
        <v>553</v>
      </c>
      <c r="O62" t="s">
        <v>494</v>
      </c>
      <c r="P62" t="s">
        <v>554</v>
      </c>
      <c r="Q62" t="s">
        <v>394</v>
      </c>
      <c r="T62" t="s">
        <v>208</v>
      </c>
      <c r="AA62" t="s">
        <v>555</v>
      </c>
      <c r="AD62" t="s">
        <v>170</v>
      </c>
      <c r="AL62" t="s">
        <v>556</v>
      </c>
      <c r="AM62" t="s">
        <v>557</v>
      </c>
      <c r="AP62" t="s">
        <v>73</v>
      </c>
      <c r="AS62" s="1" t="s">
        <v>558</v>
      </c>
      <c r="AU62" t="s">
        <v>64</v>
      </c>
    </row>
    <row r="63" spans="1:47" ht="150" hidden="1" x14ac:dyDescent="0.25">
      <c r="A63" t="s">
        <v>559</v>
      </c>
      <c r="B63"/>
      <c r="C63"/>
      <c r="D63" t="s">
        <v>560</v>
      </c>
      <c r="I63" t="s">
        <v>486</v>
      </c>
      <c r="J63" t="s">
        <v>561</v>
      </c>
      <c r="O63" t="s">
        <v>486</v>
      </c>
      <c r="P63" t="s">
        <v>562</v>
      </c>
      <c r="Q63" t="s">
        <v>563</v>
      </c>
      <c r="T63" t="s">
        <v>197</v>
      </c>
      <c r="W63" t="s">
        <v>545</v>
      </c>
      <c r="X63" t="s">
        <v>328</v>
      </c>
      <c r="AC63" t="s">
        <v>564</v>
      </c>
      <c r="AM63" t="s">
        <v>565</v>
      </c>
      <c r="AP63" t="s">
        <v>73</v>
      </c>
      <c r="AS63" s="1" t="s">
        <v>566</v>
      </c>
      <c r="AU63" t="s">
        <v>64</v>
      </c>
    </row>
    <row r="64" spans="1:47" ht="135" hidden="1" x14ac:dyDescent="0.25">
      <c r="A64" t="s">
        <v>567</v>
      </c>
      <c r="B64"/>
      <c r="C64"/>
      <c r="D64" t="s">
        <v>568</v>
      </c>
      <c r="G64" t="s">
        <v>408</v>
      </c>
      <c r="I64" t="s">
        <v>279</v>
      </c>
      <c r="J64" t="s">
        <v>569</v>
      </c>
      <c r="O64" t="s">
        <v>279</v>
      </c>
      <c r="P64" t="s">
        <v>570</v>
      </c>
      <c r="Q64" t="s">
        <v>571</v>
      </c>
      <c r="W64" t="s">
        <v>261</v>
      </c>
      <c r="AC64" t="s">
        <v>572</v>
      </c>
      <c r="AM64" t="s">
        <v>573</v>
      </c>
      <c r="AP64" t="s">
        <v>73</v>
      </c>
      <c r="AS64" s="1" t="s">
        <v>574</v>
      </c>
      <c r="AU64" t="s">
        <v>64</v>
      </c>
    </row>
    <row r="65" spans="1:47" ht="135" hidden="1" x14ac:dyDescent="0.25">
      <c r="A65" t="s">
        <v>575</v>
      </c>
      <c r="B65"/>
      <c r="C65"/>
      <c r="D65" t="s">
        <v>576</v>
      </c>
      <c r="G65" t="s">
        <v>253</v>
      </c>
      <c r="I65" t="s">
        <v>267</v>
      </c>
      <c r="J65" t="s">
        <v>577</v>
      </c>
      <c r="O65" t="s">
        <v>267</v>
      </c>
      <c r="P65" t="s">
        <v>578</v>
      </c>
      <c r="Q65" t="s">
        <v>579</v>
      </c>
      <c r="W65" t="s">
        <v>273</v>
      </c>
      <c r="AA65" t="s">
        <v>580</v>
      </c>
      <c r="AC65" t="s">
        <v>581</v>
      </c>
      <c r="AM65" t="s">
        <v>582</v>
      </c>
      <c r="AP65" t="s">
        <v>73</v>
      </c>
      <c r="AS65" s="1" t="s">
        <v>583</v>
      </c>
      <c r="AU65" t="s">
        <v>64</v>
      </c>
    </row>
    <row r="66" spans="1:47" ht="135" hidden="1" x14ac:dyDescent="0.25">
      <c r="A66" t="s">
        <v>584</v>
      </c>
      <c r="B66"/>
      <c r="C66"/>
      <c r="D66" t="s">
        <v>585</v>
      </c>
      <c r="G66" t="s">
        <v>226</v>
      </c>
      <c r="H66" t="s">
        <v>322</v>
      </c>
      <c r="I66" t="s">
        <v>475</v>
      </c>
      <c r="O66" t="s">
        <v>478</v>
      </c>
      <c r="P66" t="s">
        <v>586</v>
      </c>
      <c r="Q66" t="s">
        <v>587</v>
      </c>
      <c r="W66" t="s">
        <v>294</v>
      </c>
      <c r="AA66" t="s">
        <v>588</v>
      </c>
      <c r="AM66" t="s">
        <v>589</v>
      </c>
      <c r="AP66" t="s">
        <v>73</v>
      </c>
      <c r="AS66" s="1" t="s">
        <v>590</v>
      </c>
      <c r="AU66" t="s">
        <v>64</v>
      </c>
    </row>
    <row r="67" spans="1:47" ht="135" hidden="1" x14ac:dyDescent="0.25">
      <c r="A67" t="s">
        <v>591</v>
      </c>
      <c r="B67"/>
      <c r="C67"/>
      <c r="D67" t="s">
        <v>592</v>
      </c>
      <c r="F67" t="s">
        <v>593</v>
      </c>
      <c r="G67" t="s">
        <v>216</v>
      </c>
      <c r="I67" t="s">
        <v>464</v>
      </c>
      <c r="O67" t="s">
        <v>468</v>
      </c>
      <c r="P67" t="s">
        <v>594</v>
      </c>
      <c r="Q67" t="s">
        <v>595</v>
      </c>
      <c r="U67" t="s">
        <v>416</v>
      </c>
      <c r="W67" t="s">
        <v>284</v>
      </c>
      <c r="AA67" t="s">
        <v>580</v>
      </c>
      <c r="AM67" t="s">
        <v>596</v>
      </c>
      <c r="AP67" t="s">
        <v>73</v>
      </c>
      <c r="AS67" s="1" t="s">
        <v>597</v>
      </c>
      <c r="AU67" t="s">
        <v>64</v>
      </c>
    </row>
    <row r="68" spans="1:47" ht="150" hidden="1" x14ac:dyDescent="0.25">
      <c r="A68" t="s">
        <v>598</v>
      </c>
      <c r="B68"/>
      <c r="C68"/>
      <c r="D68" t="s">
        <v>599</v>
      </c>
      <c r="E68" t="s">
        <v>600</v>
      </c>
      <c r="G68" t="s">
        <v>601</v>
      </c>
      <c r="H68" t="s">
        <v>166</v>
      </c>
      <c r="L68" t="s">
        <v>602</v>
      </c>
      <c r="Q68" t="s">
        <v>603</v>
      </c>
      <c r="S68" t="s">
        <v>196</v>
      </c>
      <c r="U68" t="s">
        <v>416</v>
      </c>
      <c r="V68" t="s">
        <v>604</v>
      </c>
      <c r="Y68" t="s">
        <v>605</v>
      </c>
      <c r="AC68" t="s">
        <v>606</v>
      </c>
      <c r="AM68" t="s">
        <v>607</v>
      </c>
      <c r="AN68" t="s">
        <v>232</v>
      </c>
      <c r="AP68" t="s">
        <v>174</v>
      </c>
      <c r="AS68" s="1" t="s">
        <v>608</v>
      </c>
      <c r="AU68" t="s">
        <v>49</v>
      </c>
    </row>
    <row r="69" spans="1:47" ht="150" hidden="1" x14ac:dyDescent="0.25">
      <c r="A69" t="s">
        <v>609</v>
      </c>
      <c r="B69"/>
      <c r="C69"/>
      <c r="D69" t="s">
        <v>610</v>
      </c>
      <c r="E69" t="s">
        <v>611</v>
      </c>
      <c r="G69" t="s">
        <v>612</v>
      </c>
      <c r="J69" t="s">
        <v>613</v>
      </c>
      <c r="K69" t="s">
        <v>194</v>
      </c>
      <c r="L69" t="s">
        <v>614</v>
      </c>
      <c r="N69" t="s">
        <v>615</v>
      </c>
      <c r="Q69" t="s">
        <v>616</v>
      </c>
      <c r="R69" t="s">
        <v>617</v>
      </c>
      <c r="V69" t="s">
        <v>349</v>
      </c>
      <c r="Y69" t="s">
        <v>618</v>
      </c>
      <c r="AM69" t="s">
        <v>617</v>
      </c>
      <c r="AN69" t="s">
        <v>232</v>
      </c>
      <c r="AO69" t="s">
        <v>64</v>
      </c>
      <c r="AP69" t="s">
        <v>174</v>
      </c>
      <c r="AS69" s="1" t="s">
        <v>619</v>
      </c>
      <c r="AU69" t="s">
        <v>49</v>
      </c>
    </row>
    <row r="70" spans="1:47" ht="120" hidden="1" x14ac:dyDescent="0.25">
      <c r="A70" t="s">
        <v>620</v>
      </c>
      <c r="B70"/>
      <c r="C70"/>
      <c r="D70" t="s">
        <v>621</v>
      </c>
      <c r="E70" t="s">
        <v>622</v>
      </c>
      <c r="J70" t="s">
        <v>423</v>
      </c>
      <c r="K70" t="s">
        <v>206</v>
      </c>
      <c r="L70" t="s">
        <v>623</v>
      </c>
      <c r="N70" t="s">
        <v>624</v>
      </c>
      <c r="Q70" t="s">
        <v>509</v>
      </c>
      <c r="R70" t="s">
        <v>625</v>
      </c>
      <c r="V70" t="s">
        <v>626</v>
      </c>
      <c r="Y70" t="s">
        <v>605</v>
      </c>
      <c r="AM70" t="s">
        <v>625</v>
      </c>
      <c r="AN70" t="s">
        <v>232</v>
      </c>
      <c r="AO70" t="s">
        <v>64</v>
      </c>
      <c r="AP70" t="s">
        <v>174</v>
      </c>
      <c r="AS70" s="1" t="s">
        <v>627</v>
      </c>
      <c r="AU70" t="s">
        <v>49</v>
      </c>
    </row>
    <row r="71" spans="1:47" ht="180" hidden="1" x14ac:dyDescent="0.25">
      <c r="A71" t="s">
        <v>628</v>
      </c>
      <c r="B71"/>
      <c r="C71"/>
      <c r="D71" t="s">
        <v>629</v>
      </c>
      <c r="E71" t="s">
        <v>630</v>
      </c>
      <c r="G71" t="s">
        <v>631</v>
      </c>
      <c r="H71" t="s">
        <v>514</v>
      </c>
      <c r="J71" t="s">
        <v>432</v>
      </c>
      <c r="K71" t="s">
        <v>360</v>
      </c>
      <c r="L71" t="s">
        <v>632</v>
      </c>
      <c r="P71" t="s">
        <v>445</v>
      </c>
      <c r="Q71" t="s">
        <v>539</v>
      </c>
      <c r="R71" t="s">
        <v>633</v>
      </c>
      <c r="U71" t="s">
        <v>169</v>
      </c>
      <c r="V71" t="s">
        <v>634</v>
      </c>
      <c r="Y71" t="s">
        <v>618</v>
      </c>
      <c r="AM71" t="s">
        <v>635</v>
      </c>
      <c r="AN71" t="s">
        <v>221</v>
      </c>
      <c r="AO71" t="s">
        <v>64</v>
      </c>
      <c r="AP71" t="s">
        <v>174</v>
      </c>
      <c r="AS71" s="1" t="s">
        <v>636</v>
      </c>
      <c r="AU71" t="s">
        <v>49</v>
      </c>
    </row>
    <row r="72" spans="1:47" ht="165" hidden="1" x14ac:dyDescent="0.25">
      <c r="A72" t="s">
        <v>637</v>
      </c>
      <c r="B72"/>
      <c r="C72"/>
      <c r="D72" t="s">
        <v>638</v>
      </c>
      <c r="E72" t="s">
        <v>639</v>
      </c>
      <c r="G72" t="s">
        <v>640</v>
      </c>
      <c r="H72" t="s">
        <v>522</v>
      </c>
      <c r="J72" t="s">
        <v>410</v>
      </c>
      <c r="K72" t="s">
        <v>369</v>
      </c>
      <c r="L72" t="s">
        <v>641</v>
      </c>
      <c r="P72" t="s">
        <v>457</v>
      </c>
      <c r="Q72" t="s">
        <v>526</v>
      </c>
      <c r="R72" t="s">
        <v>642</v>
      </c>
      <c r="U72" t="s">
        <v>184</v>
      </c>
      <c r="V72" t="s">
        <v>643</v>
      </c>
      <c r="AM72" t="s">
        <v>644</v>
      </c>
      <c r="AN72" t="s">
        <v>221</v>
      </c>
      <c r="AO72" t="s">
        <v>64</v>
      </c>
      <c r="AP72" t="s">
        <v>174</v>
      </c>
      <c r="AS72" s="1" t="s">
        <v>645</v>
      </c>
      <c r="AU72" t="s">
        <v>49</v>
      </c>
    </row>
    <row r="73" spans="1:47" ht="120" hidden="1" x14ac:dyDescent="0.25">
      <c r="A73" t="s">
        <v>646</v>
      </c>
      <c r="B73"/>
      <c r="C73"/>
      <c r="D73" t="s">
        <v>647</v>
      </c>
      <c r="E73" t="s">
        <v>648</v>
      </c>
      <c r="H73" t="s">
        <v>393</v>
      </c>
      <c r="K73" t="s">
        <v>377</v>
      </c>
      <c r="L73" t="s">
        <v>649</v>
      </c>
      <c r="P73" t="s">
        <v>488</v>
      </c>
      <c r="Q73" t="s">
        <v>532</v>
      </c>
      <c r="R73" t="s">
        <v>650</v>
      </c>
      <c r="U73" t="s">
        <v>198</v>
      </c>
      <c r="V73" t="s">
        <v>651</v>
      </c>
      <c r="AM73" t="s">
        <v>652</v>
      </c>
      <c r="AN73" t="s">
        <v>221</v>
      </c>
      <c r="AP73" t="s">
        <v>174</v>
      </c>
      <c r="AS73" s="1" t="s">
        <v>653</v>
      </c>
      <c r="AU73" t="s">
        <v>49</v>
      </c>
    </row>
    <row r="74" spans="1:47" ht="75" hidden="1" x14ac:dyDescent="0.25">
      <c r="A74" t="s">
        <v>654</v>
      </c>
      <c r="B74"/>
      <c r="C74"/>
      <c r="D74" t="s">
        <v>655</v>
      </c>
      <c r="E74" t="s">
        <v>656</v>
      </c>
      <c r="K74" t="s">
        <v>385</v>
      </c>
      <c r="L74" t="s">
        <v>657</v>
      </c>
      <c r="N74" t="s">
        <v>467</v>
      </c>
      <c r="P74" t="s">
        <v>496</v>
      </c>
      <c r="U74" t="s">
        <v>209</v>
      </c>
      <c r="AM74" t="s">
        <v>658</v>
      </c>
      <c r="AN74" t="s">
        <v>221</v>
      </c>
      <c r="AP74" t="s">
        <v>174</v>
      </c>
      <c r="AS74" s="1" t="s">
        <v>659</v>
      </c>
      <c r="AU74" t="s">
        <v>49</v>
      </c>
    </row>
    <row r="75" spans="1:47" ht="135" hidden="1" x14ac:dyDescent="0.25">
      <c r="A75" t="s">
        <v>660</v>
      </c>
      <c r="B75"/>
      <c r="C75"/>
      <c r="D75" t="s">
        <v>661</v>
      </c>
      <c r="E75" t="s">
        <v>59</v>
      </c>
      <c r="G75" t="s">
        <v>376</v>
      </c>
      <c r="J75" t="s">
        <v>453</v>
      </c>
      <c r="K75" t="s">
        <v>515</v>
      </c>
      <c r="L75" t="s">
        <v>662</v>
      </c>
      <c r="P75" t="s">
        <v>469</v>
      </c>
      <c r="Q75" t="s">
        <v>348</v>
      </c>
      <c r="T75" t="s">
        <v>361</v>
      </c>
      <c r="U75" t="s">
        <v>218</v>
      </c>
      <c r="AA75" t="s">
        <v>663</v>
      </c>
      <c r="AM75" t="s">
        <v>664</v>
      </c>
      <c r="AN75" t="s">
        <v>232</v>
      </c>
      <c r="AO75" t="s">
        <v>64</v>
      </c>
      <c r="AP75" t="s">
        <v>248</v>
      </c>
      <c r="AS75" s="1" t="s">
        <v>665</v>
      </c>
      <c r="AU75" t="s">
        <v>49</v>
      </c>
    </row>
    <row r="76" spans="1:47" ht="135" hidden="1" x14ac:dyDescent="0.25">
      <c r="A76" t="s">
        <v>666</v>
      </c>
      <c r="B76"/>
      <c r="C76"/>
      <c r="D76" t="s">
        <v>667</v>
      </c>
      <c r="G76" t="s">
        <v>384</v>
      </c>
      <c r="J76" t="s">
        <v>465</v>
      </c>
      <c r="K76" t="s">
        <v>523</v>
      </c>
      <c r="L76" t="s">
        <v>668</v>
      </c>
      <c r="P76" t="s">
        <v>479</v>
      </c>
      <c r="Q76" t="s">
        <v>337</v>
      </c>
      <c r="T76" t="s">
        <v>370</v>
      </c>
      <c r="U76" t="s">
        <v>229</v>
      </c>
      <c r="AA76" t="s">
        <v>669</v>
      </c>
      <c r="AP76" t="s">
        <v>73</v>
      </c>
      <c r="AS76" s="1" t="s">
        <v>670</v>
      </c>
      <c r="AU76" t="s">
        <v>64</v>
      </c>
    </row>
    <row r="77" spans="1:47" ht="60" hidden="1" x14ac:dyDescent="0.25">
      <c r="A77" t="s">
        <v>671</v>
      </c>
      <c r="B77"/>
      <c r="C77"/>
      <c r="D77" t="s">
        <v>672</v>
      </c>
      <c r="E77" t="s">
        <v>673</v>
      </c>
      <c r="P77" t="s">
        <v>570</v>
      </c>
      <c r="V77" t="s">
        <v>349</v>
      </c>
      <c r="X77" t="s">
        <v>328</v>
      </c>
      <c r="AI77" t="s">
        <v>674</v>
      </c>
      <c r="AM77" t="s">
        <v>675</v>
      </c>
      <c r="AN77" t="s">
        <v>232</v>
      </c>
      <c r="AP77" t="s">
        <v>174</v>
      </c>
      <c r="AS77" s="1" t="s">
        <v>676</v>
      </c>
      <c r="AU77" t="s">
        <v>49</v>
      </c>
    </row>
    <row r="78" spans="1:47" ht="45" hidden="1" x14ac:dyDescent="0.25">
      <c r="A78" t="s">
        <v>677</v>
      </c>
      <c r="B78"/>
      <c r="C78"/>
      <c r="D78" t="s">
        <v>678</v>
      </c>
      <c r="E78" t="s">
        <v>679</v>
      </c>
      <c r="P78" t="s">
        <v>578</v>
      </c>
      <c r="V78" t="s">
        <v>338</v>
      </c>
      <c r="AI78" t="s">
        <v>680</v>
      </c>
      <c r="AM78" t="s">
        <v>681</v>
      </c>
      <c r="AN78" t="s">
        <v>232</v>
      </c>
      <c r="AP78" t="s">
        <v>174</v>
      </c>
      <c r="AS78" s="1" t="s">
        <v>682</v>
      </c>
      <c r="AU78" t="s">
        <v>49</v>
      </c>
    </row>
    <row r="79" spans="1:47" ht="60" hidden="1" x14ac:dyDescent="0.25">
      <c r="A79" t="s">
        <v>683</v>
      </c>
      <c r="B79"/>
      <c r="C79"/>
      <c r="D79" t="s">
        <v>684</v>
      </c>
      <c r="P79" t="s">
        <v>586</v>
      </c>
      <c r="V79" t="s">
        <v>326</v>
      </c>
      <c r="AI79" t="s">
        <v>685</v>
      </c>
      <c r="AM79" t="s">
        <v>686</v>
      </c>
      <c r="AP79" t="s">
        <v>73</v>
      </c>
      <c r="AS79" s="1" t="s">
        <v>687</v>
      </c>
      <c r="AU79" t="s">
        <v>64</v>
      </c>
    </row>
    <row r="80" spans="1:47" hidden="1" x14ac:dyDescent="0.25">
      <c r="A80" t="s">
        <v>688</v>
      </c>
      <c r="B80"/>
      <c r="C80"/>
      <c r="D80" t="s">
        <v>689</v>
      </c>
      <c r="P80" t="s">
        <v>594</v>
      </c>
      <c r="AP80" t="s">
        <v>73</v>
      </c>
      <c r="AS80" t="s">
        <v>690</v>
      </c>
      <c r="AU80" t="s">
        <v>64</v>
      </c>
    </row>
    <row r="81" spans="1:47" hidden="1" x14ac:dyDescent="0.25">
      <c r="A81" t="s">
        <v>691</v>
      </c>
      <c r="B81"/>
      <c r="C81"/>
      <c r="D81" t="s">
        <v>692</v>
      </c>
      <c r="P81" t="s">
        <v>693</v>
      </c>
      <c r="AP81" t="s">
        <v>73</v>
      </c>
      <c r="AS81" t="s">
        <v>694</v>
      </c>
      <c r="AU81" t="s">
        <v>64</v>
      </c>
    </row>
    <row r="82" spans="1:47" ht="45" hidden="1" x14ac:dyDescent="0.25">
      <c r="A82" t="s">
        <v>695</v>
      </c>
      <c r="B82"/>
      <c r="C82"/>
      <c r="D82" t="s">
        <v>696</v>
      </c>
      <c r="L82" t="s">
        <v>697</v>
      </c>
      <c r="M82" t="s">
        <v>698</v>
      </c>
      <c r="P82" t="s">
        <v>699</v>
      </c>
      <c r="AP82" t="s">
        <v>73</v>
      </c>
      <c r="AS82" s="1" t="s">
        <v>700</v>
      </c>
      <c r="AU82" t="s">
        <v>64</v>
      </c>
    </row>
    <row r="83" spans="1:47" ht="45" hidden="1" x14ac:dyDescent="0.25">
      <c r="A83" t="s">
        <v>701</v>
      </c>
      <c r="B83"/>
      <c r="C83"/>
      <c r="D83" t="s">
        <v>702</v>
      </c>
      <c r="L83" t="s">
        <v>703</v>
      </c>
      <c r="M83" t="s">
        <v>704</v>
      </c>
      <c r="P83" t="s">
        <v>705</v>
      </c>
      <c r="AP83" t="s">
        <v>73</v>
      </c>
      <c r="AS83" s="1" t="s">
        <v>706</v>
      </c>
      <c r="AU83" t="s">
        <v>64</v>
      </c>
    </row>
    <row r="84" spans="1:47" ht="45" hidden="1" x14ac:dyDescent="0.25">
      <c r="A84" t="s">
        <v>707</v>
      </c>
      <c r="B84"/>
      <c r="C84"/>
      <c r="D84" t="s">
        <v>708</v>
      </c>
      <c r="L84" t="s">
        <v>709</v>
      </c>
      <c r="M84" t="s">
        <v>710</v>
      </c>
      <c r="P84" t="s">
        <v>711</v>
      </c>
      <c r="AP84" t="s">
        <v>73</v>
      </c>
      <c r="AS84" s="1" t="s">
        <v>712</v>
      </c>
      <c r="AU84" t="s">
        <v>64</v>
      </c>
    </row>
    <row r="85" spans="1:47" ht="60" hidden="1" x14ac:dyDescent="0.25">
      <c r="A85" t="s">
        <v>713</v>
      </c>
      <c r="B85"/>
      <c r="C85"/>
      <c r="D85" t="s">
        <v>714</v>
      </c>
      <c r="J85" t="s">
        <v>182</v>
      </c>
      <c r="L85" t="s">
        <v>715</v>
      </c>
      <c r="M85" t="s">
        <v>716</v>
      </c>
      <c r="P85" t="s">
        <v>717</v>
      </c>
      <c r="AM85" t="s">
        <v>718</v>
      </c>
      <c r="AP85" t="s">
        <v>73</v>
      </c>
      <c r="AS85" s="1" t="s">
        <v>719</v>
      </c>
      <c r="AU85" t="s">
        <v>64</v>
      </c>
    </row>
    <row r="86" spans="1:47" ht="60" hidden="1" x14ac:dyDescent="0.25">
      <c r="A86" t="s">
        <v>720</v>
      </c>
      <c r="B86"/>
      <c r="C86"/>
      <c r="D86" t="s">
        <v>721</v>
      </c>
      <c r="J86" t="s">
        <v>167</v>
      </c>
      <c r="L86" t="s">
        <v>722</v>
      </c>
      <c r="M86" t="s">
        <v>723</v>
      </c>
      <c r="N86" t="s">
        <v>477</v>
      </c>
      <c r="AP86" t="s">
        <v>73</v>
      </c>
      <c r="AS86" s="1" t="s">
        <v>724</v>
      </c>
      <c r="AU86" t="s">
        <v>64</v>
      </c>
    </row>
    <row r="87" spans="1:47" ht="60" hidden="1" x14ac:dyDescent="0.25">
      <c r="A87" t="s">
        <v>725</v>
      </c>
      <c r="B87"/>
      <c r="C87"/>
      <c r="D87" t="s">
        <v>726</v>
      </c>
      <c r="J87" t="s">
        <v>359</v>
      </c>
      <c r="L87" t="s">
        <v>727</v>
      </c>
      <c r="N87" t="s">
        <v>728</v>
      </c>
      <c r="AP87" t="s">
        <v>73</v>
      </c>
      <c r="AS87" s="1" t="s">
        <v>729</v>
      </c>
      <c r="AU87" t="s">
        <v>64</v>
      </c>
    </row>
    <row r="88" spans="1:47" ht="60" hidden="1" x14ac:dyDescent="0.25">
      <c r="A88" t="s">
        <v>730</v>
      </c>
      <c r="B88"/>
      <c r="C88"/>
      <c r="D88" t="s">
        <v>731</v>
      </c>
      <c r="E88" t="s">
        <v>732</v>
      </c>
      <c r="G88" t="s">
        <v>376</v>
      </c>
      <c r="J88" t="s">
        <v>733</v>
      </c>
      <c r="T88" t="s">
        <v>361</v>
      </c>
      <c r="Y88" t="s">
        <v>351</v>
      </c>
      <c r="AM88" t="s">
        <v>734</v>
      </c>
      <c r="AN88" t="s">
        <v>274</v>
      </c>
      <c r="AO88" t="s">
        <v>64</v>
      </c>
      <c r="AP88" t="s">
        <v>174</v>
      </c>
      <c r="AS88" s="1" t="s">
        <v>735</v>
      </c>
      <c r="AU88" t="s">
        <v>49</v>
      </c>
    </row>
    <row r="89" spans="1:47" ht="60" hidden="1" x14ac:dyDescent="0.25">
      <c r="A89" t="s">
        <v>736</v>
      </c>
      <c r="B89"/>
      <c r="C89"/>
      <c r="D89" t="s">
        <v>737</v>
      </c>
      <c r="E89" t="s">
        <v>738</v>
      </c>
      <c r="G89" t="s">
        <v>384</v>
      </c>
      <c r="J89" t="s">
        <v>137</v>
      </c>
      <c r="T89" t="s">
        <v>370</v>
      </c>
      <c r="Y89" t="s">
        <v>340</v>
      </c>
      <c r="AM89" t="s">
        <v>739</v>
      </c>
      <c r="AN89" t="s">
        <v>274</v>
      </c>
      <c r="AO89" t="s">
        <v>64</v>
      </c>
      <c r="AP89" t="s">
        <v>174</v>
      </c>
      <c r="AS89" s="1" t="s">
        <v>740</v>
      </c>
      <c r="AU89" t="s">
        <v>49</v>
      </c>
    </row>
    <row r="90" spans="1:47" ht="60" hidden="1" x14ac:dyDescent="0.25">
      <c r="A90" t="s">
        <v>741</v>
      </c>
      <c r="B90"/>
      <c r="C90"/>
      <c r="D90" t="s">
        <v>742</v>
      </c>
      <c r="AA90" t="s">
        <v>743</v>
      </c>
      <c r="AI90" t="s">
        <v>744</v>
      </c>
      <c r="AJ90" t="s">
        <v>745</v>
      </c>
      <c r="AP90" t="s">
        <v>73</v>
      </c>
      <c r="AS90" s="1" t="s">
        <v>746</v>
      </c>
      <c r="AU90" t="s">
        <v>64</v>
      </c>
    </row>
    <row r="91" spans="1:47" hidden="1" x14ac:dyDescent="0.25">
      <c r="A91" t="s">
        <v>747</v>
      </c>
      <c r="B91"/>
      <c r="C91"/>
      <c r="D91" t="s">
        <v>748</v>
      </c>
      <c r="AP91" t="s">
        <v>73</v>
      </c>
      <c r="AU91" t="s">
        <v>64</v>
      </c>
    </row>
    <row r="92" spans="1:47" hidden="1" x14ac:dyDescent="0.25">
      <c r="A92" t="s">
        <v>749</v>
      </c>
      <c r="B92"/>
      <c r="C92"/>
      <c r="D92" t="s">
        <v>750</v>
      </c>
      <c r="AP92" t="s">
        <v>73</v>
      </c>
      <c r="AU92" t="s">
        <v>64</v>
      </c>
    </row>
    <row r="93" spans="1:47" ht="60" hidden="1" x14ac:dyDescent="0.25">
      <c r="A93" t="s">
        <v>751</v>
      </c>
      <c r="B93"/>
      <c r="C93"/>
      <c r="D93" t="s">
        <v>752</v>
      </c>
      <c r="E93" t="s">
        <v>59</v>
      </c>
      <c r="G93" t="s">
        <v>552</v>
      </c>
      <c r="N93" t="s">
        <v>753</v>
      </c>
      <c r="X93" t="s">
        <v>328</v>
      </c>
      <c r="AH93" t="s">
        <v>754</v>
      </c>
      <c r="AM93" t="s">
        <v>755</v>
      </c>
      <c r="AN93" t="s">
        <v>232</v>
      </c>
      <c r="AP93" t="s">
        <v>248</v>
      </c>
      <c r="AS93" s="1" t="s">
        <v>756</v>
      </c>
      <c r="AU93" t="s">
        <v>49</v>
      </c>
    </row>
    <row r="94" spans="1:47" ht="120" x14ac:dyDescent="0.25">
      <c r="A94" t="s">
        <v>757</v>
      </c>
      <c r="B94" s="5" t="s">
        <v>1280</v>
      </c>
      <c r="C94" s="5">
        <v>4</v>
      </c>
      <c r="D94" t="s">
        <v>758</v>
      </c>
      <c r="E94" t="s">
        <v>759</v>
      </c>
      <c r="G94" t="s">
        <v>543</v>
      </c>
      <c r="L94" s="2" t="s">
        <v>760</v>
      </c>
      <c r="M94" t="s">
        <v>761</v>
      </c>
      <c r="N94" t="s">
        <v>728</v>
      </c>
      <c r="Q94" t="s">
        <v>762</v>
      </c>
      <c r="AC94" t="s">
        <v>606</v>
      </c>
      <c r="AH94" t="s">
        <v>763</v>
      </c>
      <c r="AM94" t="s">
        <v>764</v>
      </c>
      <c r="AN94" t="s">
        <v>274</v>
      </c>
      <c r="AP94" t="s">
        <v>174</v>
      </c>
      <c r="AS94" s="1" t="s">
        <v>765</v>
      </c>
      <c r="AU94" t="s">
        <v>49</v>
      </c>
    </row>
    <row r="95" spans="1:47" ht="75" x14ac:dyDescent="0.25">
      <c r="A95" t="s">
        <v>766</v>
      </c>
      <c r="B95" s="5" t="s">
        <v>1280</v>
      </c>
      <c r="C95" s="5">
        <v>8</v>
      </c>
      <c r="D95" t="s">
        <v>767</v>
      </c>
      <c r="E95" t="s">
        <v>768</v>
      </c>
      <c r="G95" t="s">
        <v>441</v>
      </c>
      <c r="L95" s="2" t="s">
        <v>769</v>
      </c>
      <c r="M95" t="s">
        <v>770</v>
      </c>
      <c r="N95" t="s">
        <v>400</v>
      </c>
      <c r="Q95" t="s">
        <v>271</v>
      </c>
      <c r="AM95" t="s">
        <v>771</v>
      </c>
      <c r="AN95" t="s">
        <v>274</v>
      </c>
      <c r="AP95" t="s">
        <v>174</v>
      </c>
      <c r="AS95" s="1" t="s">
        <v>772</v>
      </c>
      <c r="AU95" t="s">
        <v>49</v>
      </c>
    </row>
    <row r="96" spans="1:47" ht="75" x14ac:dyDescent="0.25">
      <c r="A96" t="s">
        <v>773</v>
      </c>
      <c r="B96" s="5" t="s">
        <v>1280</v>
      </c>
      <c r="C96" s="5">
        <v>11</v>
      </c>
      <c r="D96" t="s">
        <v>774</v>
      </c>
      <c r="E96" t="s">
        <v>775</v>
      </c>
      <c r="G96" t="s">
        <v>451</v>
      </c>
      <c r="L96" s="2" t="s">
        <v>776</v>
      </c>
      <c r="M96" t="s">
        <v>777</v>
      </c>
      <c r="N96" t="s">
        <v>778</v>
      </c>
      <c r="Q96" t="s">
        <v>259</v>
      </c>
      <c r="AM96" t="s">
        <v>779</v>
      </c>
      <c r="AN96" t="s">
        <v>274</v>
      </c>
      <c r="AP96" t="s">
        <v>174</v>
      </c>
      <c r="AS96" s="1" t="s">
        <v>780</v>
      </c>
      <c r="AU96" t="s">
        <v>49</v>
      </c>
    </row>
    <row r="97" spans="1:47" ht="75" x14ac:dyDescent="0.25">
      <c r="A97" t="s">
        <v>781</v>
      </c>
      <c r="B97" s="5" t="s">
        <v>1280</v>
      </c>
      <c r="C97" s="5">
        <v>14</v>
      </c>
      <c r="D97" t="s">
        <v>782</v>
      </c>
      <c r="E97" t="s">
        <v>783</v>
      </c>
      <c r="G97" t="s">
        <v>165</v>
      </c>
      <c r="L97" s="2" t="s">
        <v>288</v>
      </c>
      <c r="M97" t="s">
        <v>784</v>
      </c>
      <c r="Q97" t="s">
        <v>282</v>
      </c>
      <c r="AN97" t="s">
        <v>274</v>
      </c>
      <c r="AP97" t="s">
        <v>174</v>
      </c>
      <c r="AS97" s="1" t="s">
        <v>785</v>
      </c>
      <c r="AU97" t="s">
        <v>49</v>
      </c>
    </row>
    <row r="98" spans="1:47" ht="60" x14ac:dyDescent="0.25">
      <c r="A98" t="s">
        <v>786</v>
      </c>
      <c r="B98" s="5" t="s">
        <v>1280</v>
      </c>
      <c r="C98" s="5">
        <v>2</v>
      </c>
      <c r="D98" t="s">
        <v>787</v>
      </c>
      <c r="E98" t="s">
        <v>788</v>
      </c>
      <c r="G98" t="s">
        <v>180</v>
      </c>
      <c r="L98" s="2" t="s">
        <v>789</v>
      </c>
      <c r="M98" t="s">
        <v>790</v>
      </c>
      <c r="Q98" t="s">
        <v>292</v>
      </c>
      <c r="AN98" t="s">
        <v>274</v>
      </c>
      <c r="AP98" t="s">
        <v>174</v>
      </c>
      <c r="AS98" s="1" t="s">
        <v>791</v>
      </c>
      <c r="AU98" t="s">
        <v>49</v>
      </c>
    </row>
    <row r="99" spans="1:47" ht="30" x14ac:dyDescent="0.25">
      <c r="A99" t="s">
        <v>792</v>
      </c>
      <c r="C99" s="3">
        <v>10</v>
      </c>
      <c r="D99" t="s">
        <v>793</v>
      </c>
      <c r="E99" t="s">
        <v>794</v>
      </c>
      <c r="L99" s="2" t="s">
        <v>406</v>
      </c>
      <c r="M99" t="s">
        <v>795</v>
      </c>
      <c r="AN99" t="s">
        <v>274</v>
      </c>
      <c r="AP99" t="s">
        <v>174</v>
      </c>
      <c r="AS99" s="1" t="s">
        <v>796</v>
      </c>
      <c r="AU99" t="s">
        <v>49</v>
      </c>
    </row>
    <row r="100" spans="1:47" ht="30" x14ac:dyDescent="0.25">
      <c r="A100" t="s">
        <v>797</v>
      </c>
      <c r="B100" s="3" t="s">
        <v>1279</v>
      </c>
      <c r="C100" s="3">
        <v>38</v>
      </c>
      <c r="D100" t="s">
        <v>798</v>
      </c>
      <c r="E100" t="s">
        <v>799</v>
      </c>
      <c r="L100" s="2" t="s">
        <v>507</v>
      </c>
      <c r="M100" t="s">
        <v>800</v>
      </c>
      <c r="AN100" t="s">
        <v>274</v>
      </c>
      <c r="AP100" t="s">
        <v>174</v>
      </c>
      <c r="AS100" s="1" t="s">
        <v>801</v>
      </c>
      <c r="AU100" t="s">
        <v>49</v>
      </c>
    </row>
    <row r="101" spans="1:47" ht="120" x14ac:dyDescent="0.25">
      <c r="A101" t="s">
        <v>802</v>
      </c>
      <c r="B101" s="3" t="s">
        <v>1279</v>
      </c>
      <c r="C101" s="3">
        <v>16</v>
      </c>
      <c r="D101" t="s">
        <v>803</v>
      </c>
      <c r="E101" t="s">
        <v>804</v>
      </c>
      <c r="G101" t="s">
        <v>307</v>
      </c>
      <c r="L101" s="2" t="s">
        <v>374</v>
      </c>
      <c r="M101" t="s">
        <v>805</v>
      </c>
      <c r="N101" t="s">
        <v>806</v>
      </c>
      <c r="O101" t="s">
        <v>807</v>
      </c>
      <c r="Q101" t="s">
        <v>259</v>
      </c>
      <c r="T101" t="s">
        <v>370</v>
      </c>
      <c r="U101" t="s">
        <v>533</v>
      </c>
      <c r="AM101" t="s">
        <v>808</v>
      </c>
      <c r="AN101" t="s">
        <v>274</v>
      </c>
      <c r="AP101" t="s">
        <v>174</v>
      </c>
      <c r="AS101" s="1" t="s">
        <v>809</v>
      </c>
      <c r="AU101" t="s">
        <v>49</v>
      </c>
    </row>
    <row r="102" spans="1:47" ht="120" x14ac:dyDescent="0.25">
      <c r="A102" t="s">
        <v>810</v>
      </c>
      <c r="B102" s="3" t="s">
        <v>1279</v>
      </c>
      <c r="C102" s="3">
        <v>22</v>
      </c>
      <c r="D102" t="s">
        <v>811</v>
      </c>
      <c r="E102" t="s">
        <v>812</v>
      </c>
      <c r="G102" t="s">
        <v>332</v>
      </c>
      <c r="L102" s="2" t="s">
        <v>813</v>
      </c>
      <c r="M102" t="s">
        <v>814</v>
      </c>
      <c r="N102" t="s">
        <v>815</v>
      </c>
      <c r="O102" t="s">
        <v>816</v>
      </c>
      <c r="Q102" t="s">
        <v>271</v>
      </c>
      <c r="T102" t="s">
        <v>361</v>
      </c>
      <c r="U102" t="s">
        <v>317</v>
      </c>
      <c r="AM102" t="s">
        <v>817</v>
      </c>
      <c r="AN102" t="s">
        <v>274</v>
      </c>
      <c r="AP102" t="s">
        <v>174</v>
      </c>
      <c r="AS102" s="1" t="s">
        <v>818</v>
      </c>
      <c r="AU102" t="s">
        <v>49</v>
      </c>
    </row>
    <row r="103" spans="1:47" ht="135" x14ac:dyDescent="0.25">
      <c r="A103" t="s">
        <v>819</v>
      </c>
      <c r="B103" s="3" t="s">
        <v>1279</v>
      </c>
      <c r="C103" s="3">
        <v>19</v>
      </c>
      <c r="D103" t="s">
        <v>769</v>
      </c>
      <c r="E103" t="s">
        <v>820</v>
      </c>
      <c r="G103" t="s">
        <v>321</v>
      </c>
      <c r="L103" s="2" t="s">
        <v>821</v>
      </c>
      <c r="M103" t="s">
        <v>822</v>
      </c>
      <c r="O103" t="s">
        <v>823</v>
      </c>
      <c r="Q103" t="s">
        <v>415</v>
      </c>
      <c r="U103" t="s">
        <v>293</v>
      </c>
      <c r="X103" t="s">
        <v>328</v>
      </c>
      <c r="Z103" t="s">
        <v>23</v>
      </c>
      <c r="AM103" t="s">
        <v>824</v>
      </c>
      <c r="AN103" t="s">
        <v>274</v>
      </c>
      <c r="AP103" t="s">
        <v>174</v>
      </c>
      <c r="AS103" s="1" t="s">
        <v>825</v>
      </c>
      <c r="AU103" t="s">
        <v>49</v>
      </c>
    </row>
    <row r="104" spans="1:47" ht="90" x14ac:dyDescent="0.25">
      <c r="A104" t="s">
        <v>826</v>
      </c>
      <c r="B104" s="3" t="s">
        <v>1279</v>
      </c>
      <c r="C104" s="3">
        <v>29</v>
      </c>
      <c r="D104" t="s">
        <v>827</v>
      </c>
      <c r="E104" t="s">
        <v>828</v>
      </c>
      <c r="L104" s="2" t="s">
        <v>343</v>
      </c>
      <c r="M104" t="s">
        <v>829</v>
      </c>
      <c r="O104" t="s">
        <v>830</v>
      </c>
      <c r="Q104" t="s">
        <v>282</v>
      </c>
      <c r="U104" t="s">
        <v>283</v>
      </c>
      <c r="AM104" t="s">
        <v>831</v>
      </c>
      <c r="AN104" t="s">
        <v>274</v>
      </c>
      <c r="AP104" t="s">
        <v>174</v>
      </c>
      <c r="AS104" s="1" t="s">
        <v>832</v>
      </c>
      <c r="AU104" t="s">
        <v>49</v>
      </c>
    </row>
    <row r="105" spans="1:47" ht="75" x14ac:dyDescent="0.25">
      <c r="A105" t="s">
        <v>833</v>
      </c>
      <c r="B105" s="3" t="s">
        <v>1279</v>
      </c>
      <c r="C105" s="3">
        <v>23</v>
      </c>
      <c r="D105" t="s">
        <v>834</v>
      </c>
      <c r="E105" t="s">
        <v>835</v>
      </c>
      <c r="H105" t="s">
        <v>333</v>
      </c>
      <c r="L105" s="2" t="s">
        <v>599</v>
      </c>
      <c r="M105" t="s">
        <v>836</v>
      </c>
      <c r="Q105" t="s">
        <v>292</v>
      </c>
      <c r="AD105" t="s">
        <v>170</v>
      </c>
      <c r="AM105" t="s">
        <v>837</v>
      </c>
      <c r="AN105" t="s">
        <v>274</v>
      </c>
      <c r="AP105" t="s">
        <v>174</v>
      </c>
      <c r="AS105" s="1" t="s">
        <v>838</v>
      </c>
      <c r="AU105" t="s">
        <v>49</v>
      </c>
    </row>
    <row r="106" spans="1:47" ht="60" x14ac:dyDescent="0.25">
      <c r="A106" t="s">
        <v>839</v>
      </c>
      <c r="B106" s="3" t="s">
        <v>1279</v>
      </c>
      <c r="C106" s="3">
        <v>27</v>
      </c>
      <c r="D106" t="s">
        <v>840</v>
      </c>
      <c r="E106" t="s">
        <v>841</v>
      </c>
      <c r="H106" t="s">
        <v>193</v>
      </c>
      <c r="L106" s="2" t="s">
        <v>638</v>
      </c>
      <c r="M106" t="s">
        <v>842</v>
      </c>
      <c r="AF106" t="s">
        <v>185</v>
      </c>
      <c r="AM106" t="s">
        <v>843</v>
      </c>
      <c r="AN106" t="s">
        <v>274</v>
      </c>
      <c r="AP106" t="s">
        <v>174</v>
      </c>
      <c r="AS106" s="1" t="s">
        <v>844</v>
      </c>
      <c r="AU106" t="s">
        <v>49</v>
      </c>
    </row>
    <row r="107" spans="1:47" ht="75" x14ac:dyDescent="0.25">
      <c r="A107" t="s">
        <v>845</v>
      </c>
      <c r="B107" s="3" t="s">
        <v>1279</v>
      </c>
      <c r="C107" s="3">
        <v>24</v>
      </c>
      <c r="D107" t="s">
        <v>846</v>
      </c>
      <c r="E107" t="s">
        <v>847</v>
      </c>
      <c r="J107" t="s">
        <v>613</v>
      </c>
      <c r="L107" s="2" t="s">
        <v>629</v>
      </c>
      <c r="M107" t="s">
        <v>848</v>
      </c>
      <c r="V107" t="s">
        <v>349</v>
      </c>
      <c r="AE107" t="s">
        <v>403</v>
      </c>
      <c r="AM107" t="s">
        <v>849</v>
      </c>
      <c r="AN107" t="s">
        <v>274</v>
      </c>
      <c r="AO107" t="s">
        <v>64</v>
      </c>
      <c r="AP107" t="s">
        <v>174</v>
      </c>
      <c r="AS107" s="1" t="s">
        <v>850</v>
      </c>
      <c r="AU107" t="s">
        <v>49</v>
      </c>
    </row>
    <row r="108" spans="1:47" ht="120" hidden="1" x14ac:dyDescent="0.25">
      <c r="A108" t="s">
        <v>851</v>
      </c>
      <c r="B108"/>
      <c r="C108"/>
      <c r="D108" t="s">
        <v>852</v>
      </c>
      <c r="G108" t="s">
        <v>289</v>
      </c>
      <c r="I108" t="s">
        <v>452</v>
      </c>
      <c r="O108" t="s">
        <v>456</v>
      </c>
      <c r="P108" t="s">
        <v>693</v>
      </c>
      <c r="Q108" t="s">
        <v>853</v>
      </c>
      <c r="U108" t="s">
        <v>533</v>
      </c>
      <c r="W108" t="s">
        <v>350</v>
      </c>
      <c r="AA108" t="s">
        <v>854</v>
      </c>
      <c r="AM108" t="s">
        <v>855</v>
      </c>
      <c r="AP108" t="s">
        <v>73</v>
      </c>
      <c r="AS108" s="1" t="s">
        <v>856</v>
      </c>
      <c r="AU108" t="s">
        <v>64</v>
      </c>
    </row>
    <row r="109" spans="1:47" ht="150" hidden="1" x14ac:dyDescent="0.25">
      <c r="A109" t="s">
        <v>857</v>
      </c>
      <c r="B109"/>
      <c r="C109"/>
      <c r="D109" t="s">
        <v>858</v>
      </c>
      <c r="G109" t="s">
        <v>307</v>
      </c>
      <c r="I109" t="s">
        <v>442</v>
      </c>
      <c r="N109" t="s">
        <v>455</v>
      </c>
      <c r="O109" t="s">
        <v>444</v>
      </c>
      <c r="P109" t="s">
        <v>699</v>
      </c>
      <c r="Q109" t="s">
        <v>859</v>
      </c>
      <c r="U109" t="s">
        <v>293</v>
      </c>
      <c r="W109" t="s">
        <v>339</v>
      </c>
      <c r="AA109" t="s">
        <v>860</v>
      </c>
      <c r="AM109" t="s">
        <v>861</v>
      </c>
      <c r="AP109" t="s">
        <v>73</v>
      </c>
      <c r="AS109" s="1" t="s">
        <v>862</v>
      </c>
      <c r="AU109" t="s">
        <v>64</v>
      </c>
    </row>
    <row r="110" spans="1:47" ht="135" hidden="1" x14ac:dyDescent="0.25">
      <c r="A110" t="s">
        <v>863</v>
      </c>
      <c r="B110"/>
      <c r="C110"/>
      <c r="D110" t="s">
        <v>864</v>
      </c>
      <c r="G110" t="s">
        <v>543</v>
      </c>
      <c r="I110" t="s">
        <v>431</v>
      </c>
      <c r="N110" t="s">
        <v>778</v>
      </c>
      <c r="O110" t="s">
        <v>435</v>
      </c>
      <c r="P110" t="s">
        <v>705</v>
      </c>
      <c r="Q110" t="s">
        <v>865</v>
      </c>
      <c r="U110" t="s">
        <v>317</v>
      </c>
      <c r="W110" t="s">
        <v>327</v>
      </c>
      <c r="AA110" t="s">
        <v>866</v>
      </c>
      <c r="AM110" t="s">
        <v>867</v>
      </c>
      <c r="AP110" t="s">
        <v>73</v>
      </c>
      <c r="AS110" s="1" t="s">
        <v>868</v>
      </c>
      <c r="AU110" t="s">
        <v>64</v>
      </c>
    </row>
    <row r="111" spans="1:47" ht="120" hidden="1" x14ac:dyDescent="0.25">
      <c r="A111" t="s">
        <v>869</v>
      </c>
      <c r="B111"/>
      <c r="C111"/>
      <c r="D111" t="s">
        <v>870</v>
      </c>
      <c r="G111" t="s">
        <v>552</v>
      </c>
      <c r="H111" t="s">
        <v>333</v>
      </c>
      <c r="I111" t="s">
        <v>422</v>
      </c>
      <c r="O111" t="s">
        <v>425</v>
      </c>
      <c r="P111" t="s">
        <v>711</v>
      </c>
      <c r="U111" t="s">
        <v>283</v>
      </c>
      <c r="Z111" t="s">
        <v>362</v>
      </c>
      <c r="AA111" t="s">
        <v>871</v>
      </c>
      <c r="AM111" t="s">
        <v>872</v>
      </c>
      <c r="AP111" t="s">
        <v>73</v>
      </c>
      <c r="AS111" s="1" t="s">
        <v>873</v>
      </c>
      <c r="AU111" t="s">
        <v>64</v>
      </c>
    </row>
    <row r="112" spans="1:47" ht="120" hidden="1" x14ac:dyDescent="0.25">
      <c r="A112" t="s">
        <v>874</v>
      </c>
      <c r="B112"/>
      <c r="C112"/>
      <c r="D112" t="s">
        <v>875</v>
      </c>
      <c r="H112" t="s">
        <v>193</v>
      </c>
      <c r="I112" t="s">
        <v>409</v>
      </c>
      <c r="K112" t="s">
        <v>523</v>
      </c>
      <c r="O112" t="s">
        <v>414</v>
      </c>
      <c r="P112" t="s">
        <v>717</v>
      </c>
      <c r="T112" t="s">
        <v>208</v>
      </c>
      <c r="U112" t="s">
        <v>272</v>
      </c>
      <c r="AA112" t="s">
        <v>876</v>
      </c>
      <c r="AM112" t="s">
        <v>877</v>
      </c>
      <c r="AP112" t="s">
        <v>73</v>
      </c>
      <c r="AS112" s="1" t="s">
        <v>878</v>
      </c>
      <c r="AU112" t="s">
        <v>64</v>
      </c>
    </row>
    <row r="113" spans="1:47" ht="120" hidden="1" x14ac:dyDescent="0.25">
      <c r="A113" t="s">
        <v>879</v>
      </c>
      <c r="B113"/>
      <c r="C113"/>
      <c r="D113" t="s">
        <v>880</v>
      </c>
      <c r="H113" t="s">
        <v>166</v>
      </c>
      <c r="I113" t="s">
        <v>254</v>
      </c>
      <c r="K113" t="s">
        <v>515</v>
      </c>
      <c r="O113" t="s">
        <v>258</v>
      </c>
      <c r="Q113" t="s">
        <v>579</v>
      </c>
      <c r="T113" t="s">
        <v>197</v>
      </c>
      <c r="U113" t="s">
        <v>260</v>
      </c>
      <c r="AA113" t="s">
        <v>881</v>
      </c>
      <c r="AM113" t="s">
        <v>882</v>
      </c>
      <c r="AP113" t="s">
        <v>73</v>
      </c>
      <c r="AS113" s="1" t="s">
        <v>883</v>
      </c>
      <c r="AU113" t="s">
        <v>64</v>
      </c>
    </row>
    <row r="114" spans="1:47" ht="75" hidden="1" x14ac:dyDescent="0.25">
      <c r="A114" t="s">
        <v>884</v>
      </c>
      <c r="B114"/>
      <c r="C114"/>
      <c r="D114" t="s">
        <v>885</v>
      </c>
      <c r="H114" t="s">
        <v>166</v>
      </c>
      <c r="J114" t="s">
        <v>613</v>
      </c>
      <c r="Q114" t="s">
        <v>394</v>
      </c>
      <c r="R114" t="s">
        <v>886</v>
      </c>
      <c r="AA114" t="s">
        <v>887</v>
      </c>
      <c r="AP114" t="s">
        <v>73</v>
      </c>
      <c r="AS114" s="1" t="s">
        <v>888</v>
      </c>
      <c r="AU114" t="s">
        <v>64</v>
      </c>
    </row>
    <row r="115" spans="1:47" ht="45" hidden="1" x14ac:dyDescent="0.25">
      <c r="A115" t="s">
        <v>889</v>
      </c>
      <c r="B115"/>
      <c r="C115"/>
      <c r="D115" t="s">
        <v>890</v>
      </c>
      <c r="J115" t="s">
        <v>465</v>
      </c>
      <c r="Q115" t="s">
        <v>401</v>
      </c>
      <c r="R115" t="s">
        <v>891</v>
      </c>
      <c r="AP115" t="s">
        <v>73</v>
      </c>
      <c r="AS115" s="1" t="s">
        <v>892</v>
      </c>
      <c r="AU115" t="s">
        <v>64</v>
      </c>
    </row>
    <row r="116" spans="1:47" ht="135" hidden="1" x14ac:dyDescent="0.25">
      <c r="A116" t="s">
        <v>893</v>
      </c>
      <c r="B116"/>
      <c r="C116"/>
      <c r="D116" t="s">
        <v>894</v>
      </c>
      <c r="J116" t="s">
        <v>895</v>
      </c>
      <c r="L116" t="s">
        <v>896</v>
      </c>
      <c r="Q116" t="s">
        <v>897</v>
      </c>
      <c r="U116" t="s">
        <v>239</v>
      </c>
      <c r="W116" t="s">
        <v>545</v>
      </c>
      <c r="X116" t="s">
        <v>328</v>
      </c>
      <c r="AA116" t="s">
        <v>898</v>
      </c>
      <c r="AP116" t="s">
        <v>73</v>
      </c>
      <c r="AS116" s="1" t="s">
        <v>899</v>
      </c>
      <c r="AU116" t="s">
        <v>64</v>
      </c>
    </row>
    <row r="117" spans="1:47" ht="75" hidden="1" x14ac:dyDescent="0.25">
      <c r="A117" t="s">
        <v>900</v>
      </c>
      <c r="B117"/>
      <c r="C117"/>
      <c r="D117" t="s">
        <v>901</v>
      </c>
      <c r="J117" t="s">
        <v>902</v>
      </c>
      <c r="L117" t="s">
        <v>903</v>
      </c>
      <c r="Q117" t="s">
        <v>603</v>
      </c>
      <c r="AA117" t="s">
        <v>904</v>
      </c>
      <c r="AP117" t="s">
        <v>73</v>
      </c>
      <c r="AS117" s="1" t="s">
        <v>905</v>
      </c>
      <c r="AU117" t="s">
        <v>64</v>
      </c>
    </row>
    <row r="118" spans="1:47" ht="45" hidden="1" x14ac:dyDescent="0.25">
      <c r="A118" t="s">
        <v>906</v>
      </c>
      <c r="B118"/>
      <c r="C118"/>
      <c r="D118" t="s">
        <v>907</v>
      </c>
      <c r="L118" t="s">
        <v>908</v>
      </c>
      <c r="Q118" t="s">
        <v>909</v>
      </c>
      <c r="AA118" t="s">
        <v>910</v>
      </c>
      <c r="AP118" t="s">
        <v>73</v>
      </c>
      <c r="AS118" s="1" t="s">
        <v>911</v>
      </c>
      <c r="AU118" t="s">
        <v>64</v>
      </c>
    </row>
    <row r="119" spans="1:47" hidden="1" x14ac:dyDescent="0.25">
      <c r="A119" t="s">
        <v>912</v>
      </c>
      <c r="B119"/>
      <c r="C119"/>
      <c r="D119" t="s">
        <v>913</v>
      </c>
      <c r="H119" t="s">
        <v>181</v>
      </c>
      <c r="AM119" t="s">
        <v>914</v>
      </c>
      <c r="AP119" t="s">
        <v>73</v>
      </c>
      <c r="AS119" t="s">
        <v>915</v>
      </c>
      <c r="AU119" t="s">
        <v>64</v>
      </c>
    </row>
    <row r="120" spans="1:47" ht="30" hidden="1" x14ac:dyDescent="0.25">
      <c r="A120" t="s">
        <v>916</v>
      </c>
      <c r="B120"/>
      <c r="C120"/>
      <c r="D120" t="s">
        <v>917</v>
      </c>
      <c r="G120" t="s">
        <v>192</v>
      </c>
      <c r="H120" t="s">
        <v>237</v>
      </c>
      <c r="AP120" t="s">
        <v>73</v>
      </c>
      <c r="AS120" s="1" t="s">
        <v>918</v>
      </c>
      <c r="AU120" t="s">
        <v>64</v>
      </c>
    </row>
    <row r="121" spans="1:47" ht="30" hidden="1" x14ac:dyDescent="0.25">
      <c r="A121" t="s">
        <v>919</v>
      </c>
      <c r="B121"/>
      <c r="C121"/>
      <c r="D121" t="s">
        <v>920</v>
      </c>
      <c r="G121" t="s">
        <v>205</v>
      </c>
      <c r="H121" t="s">
        <v>245</v>
      </c>
      <c r="AP121" t="s">
        <v>73</v>
      </c>
      <c r="AS121" s="1" t="s">
        <v>921</v>
      </c>
      <c r="AU121" t="s">
        <v>64</v>
      </c>
    </row>
    <row r="122" spans="1:47" hidden="1" x14ac:dyDescent="0.25">
      <c r="A122" t="s">
        <v>922</v>
      </c>
      <c r="B122"/>
      <c r="C122"/>
      <c r="D122" t="s">
        <v>923</v>
      </c>
      <c r="Q122" t="s">
        <v>337</v>
      </c>
      <c r="AP122" t="s">
        <v>73</v>
      </c>
      <c r="AS122" t="s">
        <v>924</v>
      </c>
      <c r="AU122" t="s">
        <v>64</v>
      </c>
    </row>
    <row r="123" spans="1:47" hidden="1" x14ac:dyDescent="0.25">
      <c r="A123" t="s">
        <v>925</v>
      </c>
      <c r="B123"/>
      <c r="C123"/>
      <c r="D123" t="s">
        <v>926</v>
      </c>
      <c r="Q123" t="s">
        <v>348</v>
      </c>
      <c r="AP123" t="s">
        <v>73</v>
      </c>
      <c r="AS123" t="s">
        <v>927</v>
      </c>
      <c r="AU123" t="s">
        <v>64</v>
      </c>
    </row>
    <row r="124" spans="1:47" ht="90" hidden="1" x14ac:dyDescent="0.25">
      <c r="A124" t="s">
        <v>928</v>
      </c>
      <c r="B124"/>
      <c r="C124"/>
      <c r="D124" t="s">
        <v>929</v>
      </c>
      <c r="E124" t="s">
        <v>930</v>
      </c>
      <c r="G124" t="s">
        <v>931</v>
      </c>
      <c r="H124" t="s">
        <v>245</v>
      </c>
      <c r="J124" t="s">
        <v>895</v>
      </c>
      <c r="K124" t="s">
        <v>345</v>
      </c>
      <c r="Q124" t="s">
        <v>865</v>
      </c>
      <c r="AH124" t="s">
        <v>932</v>
      </c>
      <c r="AM124" t="s">
        <v>933</v>
      </c>
      <c r="AN124" t="s">
        <v>173</v>
      </c>
      <c r="AO124" t="s">
        <v>64</v>
      </c>
      <c r="AP124" t="s">
        <v>174</v>
      </c>
      <c r="AS124" s="1" t="s">
        <v>934</v>
      </c>
      <c r="AU124" t="s">
        <v>176</v>
      </c>
    </row>
    <row r="125" spans="1:47" ht="90" hidden="1" x14ac:dyDescent="0.25">
      <c r="A125" t="s">
        <v>935</v>
      </c>
      <c r="B125"/>
      <c r="C125"/>
      <c r="D125" t="s">
        <v>936</v>
      </c>
      <c r="E125" t="s">
        <v>937</v>
      </c>
      <c r="G125" t="s">
        <v>938</v>
      </c>
      <c r="H125" t="s">
        <v>237</v>
      </c>
      <c r="J125" t="s">
        <v>939</v>
      </c>
      <c r="K125" t="s">
        <v>335</v>
      </c>
      <c r="Q125" t="s">
        <v>595</v>
      </c>
      <c r="AH125" t="s">
        <v>940</v>
      </c>
      <c r="AM125" t="s">
        <v>941</v>
      </c>
      <c r="AN125" t="s">
        <v>173</v>
      </c>
      <c r="AO125" t="s">
        <v>64</v>
      </c>
      <c r="AP125" t="s">
        <v>174</v>
      </c>
      <c r="AS125" s="1" t="s">
        <v>942</v>
      </c>
      <c r="AU125" t="s">
        <v>49</v>
      </c>
    </row>
    <row r="126" spans="1:47" ht="60" hidden="1" x14ac:dyDescent="0.25">
      <c r="A126" t="s">
        <v>943</v>
      </c>
      <c r="B126"/>
      <c r="C126"/>
      <c r="D126" t="s">
        <v>944</v>
      </c>
      <c r="E126" t="s">
        <v>945</v>
      </c>
      <c r="G126" t="s">
        <v>946</v>
      </c>
      <c r="K126" t="s">
        <v>323</v>
      </c>
      <c r="Q126" t="s">
        <v>853</v>
      </c>
      <c r="AH126" t="s">
        <v>947</v>
      </c>
      <c r="AM126" t="s">
        <v>948</v>
      </c>
      <c r="AN126" t="s">
        <v>173</v>
      </c>
      <c r="AP126" t="s">
        <v>174</v>
      </c>
      <c r="AS126" s="1" t="s">
        <v>949</v>
      </c>
      <c r="AU126" t="s">
        <v>176</v>
      </c>
    </row>
    <row r="127" spans="1:47" ht="75" hidden="1" x14ac:dyDescent="0.25">
      <c r="A127" t="s">
        <v>950</v>
      </c>
      <c r="B127"/>
      <c r="C127"/>
      <c r="D127" t="s">
        <v>951</v>
      </c>
      <c r="E127" t="s">
        <v>952</v>
      </c>
      <c r="G127" t="s">
        <v>953</v>
      </c>
      <c r="Q127" t="s">
        <v>954</v>
      </c>
      <c r="AE127" t="s">
        <v>403</v>
      </c>
      <c r="AH127" t="s">
        <v>955</v>
      </c>
      <c r="AM127" t="s">
        <v>956</v>
      </c>
      <c r="AN127" t="s">
        <v>173</v>
      </c>
      <c r="AP127" t="s">
        <v>174</v>
      </c>
      <c r="AS127" s="1" t="s">
        <v>957</v>
      </c>
      <c r="AU127" t="s">
        <v>176</v>
      </c>
    </row>
    <row r="128" spans="1:47" ht="90" hidden="1" x14ac:dyDescent="0.25">
      <c r="A128" t="s">
        <v>958</v>
      </c>
      <c r="B128"/>
      <c r="C128"/>
      <c r="D128" t="s">
        <v>959</v>
      </c>
      <c r="E128" t="s">
        <v>960</v>
      </c>
      <c r="G128" t="s">
        <v>961</v>
      </c>
      <c r="J128" t="s">
        <v>137</v>
      </c>
      <c r="Q128" t="s">
        <v>859</v>
      </c>
      <c r="AG128" t="s">
        <v>395</v>
      </c>
      <c r="AH128" t="s">
        <v>962</v>
      </c>
      <c r="AM128" t="s">
        <v>963</v>
      </c>
      <c r="AN128" t="s">
        <v>173</v>
      </c>
      <c r="AO128" t="s">
        <v>64</v>
      </c>
      <c r="AP128" t="s">
        <v>174</v>
      </c>
      <c r="AS128" s="1" t="s">
        <v>964</v>
      </c>
      <c r="AU128" t="s">
        <v>176</v>
      </c>
    </row>
    <row r="129" spans="1:47" ht="45" hidden="1" x14ac:dyDescent="0.25">
      <c r="A129" t="s">
        <v>965</v>
      </c>
      <c r="B129"/>
      <c r="C129"/>
      <c r="D129" t="s">
        <v>966</v>
      </c>
      <c r="AA129" t="s">
        <v>967</v>
      </c>
      <c r="AI129" t="s">
        <v>968</v>
      </c>
      <c r="AP129" t="s">
        <v>73</v>
      </c>
      <c r="AS129" s="1" t="s">
        <v>969</v>
      </c>
      <c r="AU129" t="s">
        <v>64</v>
      </c>
    </row>
    <row r="130" spans="1:47" ht="60" hidden="1" x14ac:dyDescent="0.25">
      <c r="A130" t="s">
        <v>970</v>
      </c>
      <c r="B130"/>
      <c r="C130"/>
      <c r="D130" t="s">
        <v>971</v>
      </c>
      <c r="J130" t="s">
        <v>227</v>
      </c>
      <c r="AA130" t="s">
        <v>972</v>
      </c>
      <c r="AI130" t="s">
        <v>973</v>
      </c>
      <c r="AP130" t="s">
        <v>73</v>
      </c>
      <c r="AS130" s="1" t="s">
        <v>974</v>
      </c>
      <c r="AU130" t="s">
        <v>64</v>
      </c>
    </row>
    <row r="131" spans="1:47" hidden="1" x14ac:dyDescent="0.25">
      <c r="A131" t="s">
        <v>975</v>
      </c>
      <c r="B131"/>
      <c r="C131"/>
      <c r="D131" t="s">
        <v>976</v>
      </c>
      <c r="AP131" t="s">
        <v>73</v>
      </c>
      <c r="AU131" t="s">
        <v>64</v>
      </c>
    </row>
    <row r="132" spans="1:47" ht="45" hidden="1" x14ac:dyDescent="0.25">
      <c r="A132" t="s">
        <v>977</v>
      </c>
      <c r="B132"/>
      <c r="C132"/>
      <c r="D132" t="s">
        <v>978</v>
      </c>
      <c r="E132" t="s">
        <v>979</v>
      </c>
      <c r="G132" t="s">
        <v>980</v>
      </c>
      <c r="J132" t="s">
        <v>733</v>
      </c>
      <c r="AH132" t="s">
        <v>981</v>
      </c>
      <c r="AM132" t="s">
        <v>982</v>
      </c>
      <c r="AN132" t="s">
        <v>173</v>
      </c>
      <c r="AO132" t="s">
        <v>64</v>
      </c>
      <c r="AP132" t="s">
        <v>174</v>
      </c>
      <c r="AS132" s="1" t="s">
        <v>983</v>
      </c>
      <c r="AU132" t="s">
        <v>176</v>
      </c>
    </row>
    <row r="133" spans="1:47" hidden="1" x14ac:dyDescent="0.25">
      <c r="A133" t="s">
        <v>984</v>
      </c>
      <c r="B133"/>
      <c r="C133"/>
      <c r="D133" t="s">
        <v>985</v>
      </c>
      <c r="E133" t="s">
        <v>59</v>
      </c>
      <c r="AH133" t="s">
        <v>986</v>
      </c>
      <c r="AM133" t="s">
        <v>987</v>
      </c>
      <c r="AN133" t="s">
        <v>232</v>
      </c>
      <c r="AP133" t="s">
        <v>248</v>
      </c>
      <c r="AS133" t="s">
        <v>988</v>
      </c>
      <c r="AU133" t="s">
        <v>49</v>
      </c>
    </row>
    <row r="134" spans="1:47" ht="30" hidden="1" x14ac:dyDescent="0.25">
      <c r="A134" t="s">
        <v>989</v>
      </c>
      <c r="B134"/>
      <c r="C134"/>
      <c r="D134" t="s">
        <v>990</v>
      </c>
      <c r="N134" t="s">
        <v>624</v>
      </c>
      <c r="P134" t="s">
        <v>544</v>
      </c>
      <c r="AM134" t="s">
        <v>991</v>
      </c>
      <c r="AP134" t="s">
        <v>73</v>
      </c>
      <c r="AS134" s="1" t="s">
        <v>992</v>
      </c>
      <c r="AU134" t="s">
        <v>64</v>
      </c>
    </row>
    <row r="135" spans="1:47" ht="45" hidden="1" x14ac:dyDescent="0.25">
      <c r="A135" t="s">
        <v>993</v>
      </c>
      <c r="B135"/>
      <c r="C135"/>
      <c r="D135" t="s">
        <v>994</v>
      </c>
      <c r="N135" t="s">
        <v>615</v>
      </c>
      <c r="P135" t="s">
        <v>554</v>
      </c>
      <c r="V135" t="s">
        <v>643</v>
      </c>
      <c r="AM135" t="s">
        <v>995</v>
      </c>
      <c r="AP135" t="s">
        <v>73</v>
      </c>
      <c r="AS135" s="1" t="s">
        <v>996</v>
      </c>
      <c r="AU135" t="s">
        <v>64</v>
      </c>
    </row>
    <row r="136" spans="1:47" ht="45" hidden="1" x14ac:dyDescent="0.25">
      <c r="A136" t="s">
        <v>997</v>
      </c>
      <c r="B136"/>
      <c r="C136"/>
      <c r="D136" t="s">
        <v>998</v>
      </c>
      <c r="P136" t="s">
        <v>562</v>
      </c>
      <c r="V136" t="s">
        <v>651</v>
      </c>
      <c r="AI136" t="s">
        <v>999</v>
      </c>
      <c r="AM136" t="s">
        <v>1000</v>
      </c>
      <c r="AP136" t="s">
        <v>73</v>
      </c>
      <c r="AS136" s="1" t="s">
        <v>1001</v>
      </c>
      <c r="AU136" t="s">
        <v>64</v>
      </c>
    </row>
    <row r="137" spans="1:47" ht="30" hidden="1" x14ac:dyDescent="0.25">
      <c r="A137" t="s">
        <v>1002</v>
      </c>
      <c r="B137"/>
      <c r="C137"/>
      <c r="D137" t="s">
        <v>1003</v>
      </c>
      <c r="L137" t="s">
        <v>1004</v>
      </c>
      <c r="M137" t="s">
        <v>1005</v>
      </c>
      <c r="AP137" t="s">
        <v>73</v>
      </c>
      <c r="AS137" s="1" t="s">
        <v>1006</v>
      </c>
      <c r="AU137" t="s">
        <v>64</v>
      </c>
    </row>
    <row r="138" spans="1:47" ht="45" hidden="1" x14ac:dyDescent="0.25">
      <c r="A138" t="s">
        <v>1007</v>
      </c>
      <c r="B138"/>
      <c r="C138"/>
      <c r="D138" t="s">
        <v>1008</v>
      </c>
      <c r="E138" t="s">
        <v>1009</v>
      </c>
      <c r="G138" t="s">
        <v>165</v>
      </c>
      <c r="T138" t="s">
        <v>197</v>
      </c>
      <c r="V138" t="s">
        <v>1010</v>
      </c>
      <c r="AM138" t="s">
        <v>1011</v>
      </c>
      <c r="AN138" t="s">
        <v>232</v>
      </c>
      <c r="AP138" t="s">
        <v>174</v>
      </c>
      <c r="AS138" s="1" t="s">
        <v>1012</v>
      </c>
      <c r="AU138" t="s">
        <v>49</v>
      </c>
    </row>
    <row r="139" spans="1:47" ht="45" hidden="1" x14ac:dyDescent="0.25">
      <c r="A139" t="s">
        <v>1013</v>
      </c>
      <c r="B139"/>
      <c r="C139"/>
      <c r="D139" t="s">
        <v>1014</v>
      </c>
      <c r="E139" t="s">
        <v>1015</v>
      </c>
      <c r="G139" t="s">
        <v>180</v>
      </c>
      <c r="T139" t="s">
        <v>208</v>
      </c>
      <c r="V139" t="s">
        <v>1016</v>
      </c>
      <c r="AM139" t="s">
        <v>1017</v>
      </c>
      <c r="AN139" t="s">
        <v>232</v>
      </c>
      <c r="AP139" t="s">
        <v>174</v>
      </c>
      <c r="AS139" s="1" t="s">
        <v>1018</v>
      </c>
      <c r="AU139" t="s">
        <v>49</v>
      </c>
    </row>
    <row r="140" spans="1:47" hidden="1" x14ac:dyDescent="0.25">
      <c r="A140" t="s">
        <v>1019</v>
      </c>
      <c r="B140"/>
      <c r="C140"/>
      <c r="D140" t="s">
        <v>1020</v>
      </c>
      <c r="Q140" t="s">
        <v>509</v>
      </c>
      <c r="AP140" t="s">
        <v>73</v>
      </c>
      <c r="AS140" t="s">
        <v>1021</v>
      </c>
      <c r="AU140" t="s">
        <v>64</v>
      </c>
    </row>
    <row r="141" spans="1:47" ht="30" hidden="1" x14ac:dyDescent="0.25">
      <c r="A141" t="s">
        <v>1022</v>
      </c>
      <c r="B141"/>
      <c r="C141"/>
      <c r="D141" t="s">
        <v>1023</v>
      </c>
      <c r="H141" t="s">
        <v>322</v>
      </c>
      <c r="Q141" t="s">
        <v>503</v>
      </c>
      <c r="AP141" t="s">
        <v>73</v>
      </c>
      <c r="AS141" s="1" t="s">
        <v>1024</v>
      </c>
      <c r="AU141" t="s">
        <v>64</v>
      </c>
    </row>
    <row r="142" spans="1:47" hidden="1" x14ac:dyDescent="0.25">
      <c r="A142" t="s">
        <v>1025</v>
      </c>
      <c r="B142"/>
      <c r="C142"/>
      <c r="D142" t="s">
        <v>821</v>
      </c>
      <c r="AP142" t="s">
        <v>73</v>
      </c>
      <c r="AU142" t="s">
        <v>64</v>
      </c>
    </row>
    <row r="143" spans="1:47" hidden="1" x14ac:dyDescent="0.25">
      <c r="A143" t="s">
        <v>1026</v>
      </c>
      <c r="B143"/>
      <c r="C143"/>
      <c r="D143" t="s">
        <v>1027</v>
      </c>
      <c r="G143" t="s">
        <v>931</v>
      </c>
      <c r="AP143" t="s">
        <v>73</v>
      </c>
      <c r="AS143" t="s">
        <v>1028</v>
      </c>
      <c r="AU143" t="s">
        <v>64</v>
      </c>
    </row>
    <row r="144" spans="1:47" hidden="1" x14ac:dyDescent="0.25">
      <c r="A144" t="s">
        <v>1029</v>
      </c>
      <c r="B144"/>
      <c r="C144"/>
      <c r="D144" t="s">
        <v>813</v>
      </c>
      <c r="G144" t="s">
        <v>938</v>
      </c>
      <c r="AP144" t="s">
        <v>73</v>
      </c>
      <c r="AS144" t="s">
        <v>1030</v>
      </c>
      <c r="AU144" t="s">
        <v>64</v>
      </c>
    </row>
    <row r="145" spans="1:47" ht="60" hidden="1" x14ac:dyDescent="0.25">
      <c r="A145" t="s">
        <v>1031</v>
      </c>
      <c r="B145"/>
      <c r="C145"/>
      <c r="D145" t="s">
        <v>466</v>
      </c>
      <c r="J145" t="s">
        <v>465</v>
      </c>
      <c r="L145" t="s">
        <v>1008</v>
      </c>
      <c r="M145" t="s">
        <v>1008</v>
      </c>
      <c r="Q145" t="s">
        <v>532</v>
      </c>
      <c r="AM145" t="s">
        <v>1032</v>
      </c>
      <c r="AP145" t="s">
        <v>73</v>
      </c>
      <c r="AS145" s="1" t="s">
        <v>1033</v>
      </c>
      <c r="AU145" t="s">
        <v>64</v>
      </c>
    </row>
    <row r="146" spans="1:47" ht="75" hidden="1" x14ac:dyDescent="0.25">
      <c r="A146" t="s">
        <v>1034</v>
      </c>
      <c r="B146"/>
      <c r="C146"/>
      <c r="D146" t="s">
        <v>1035</v>
      </c>
      <c r="G146" t="s">
        <v>980</v>
      </c>
      <c r="J146" t="s">
        <v>453</v>
      </c>
      <c r="L146" t="s">
        <v>655</v>
      </c>
      <c r="M146" t="s">
        <v>655</v>
      </c>
      <c r="V146" t="s">
        <v>643</v>
      </c>
      <c r="AM146" t="s">
        <v>1036</v>
      </c>
      <c r="AP146" t="s">
        <v>73</v>
      </c>
      <c r="AS146" s="1" t="s">
        <v>1037</v>
      </c>
      <c r="AU146" t="s">
        <v>64</v>
      </c>
    </row>
    <row r="147" spans="1:47" ht="75" hidden="1" x14ac:dyDescent="0.25">
      <c r="A147" t="s">
        <v>1038</v>
      </c>
      <c r="B147"/>
      <c r="C147"/>
      <c r="D147" t="s">
        <v>1039</v>
      </c>
      <c r="G147" t="s">
        <v>961</v>
      </c>
      <c r="J147" t="s">
        <v>902</v>
      </c>
      <c r="L147" t="s">
        <v>1040</v>
      </c>
      <c r="M147" t="s">
        <v>1040</v>
      </c>
      <c r="V147" t="s">
        <v>651</v>
      </c>
      <c r="AM147" t="s">
        <v>1041</v>
      </c>
      <c r="AP147" t="s">
        <v>73</v>
      </c>
      <c r="AS147" s="1" t="s">
        <v>1042</v>
      </c>
      <c r="AU147" t="s">
        <v>64</v>
      </c>
    </row>
    <row r="148" spans="1:47" ht="75" hidden="1" x14ac:dyDescent="0.25">
      <c r="A148" t="s">
        <v>1043</v>
      </c>
      <c r="B148"/>
      <c r="C148"/>
      <c r="D148" t="s">
        <v>1044</v>
      </c>
      <c r="G148" t="s">
        <v>953</v>
      </c>
      <c r="J148" t="s">
        <v>895</v>
      </c>
      <c r="L148" t="s">
        <v>1045</v>
      </c>
      <c r="M148" t="s">
        <v>1046</v>
      </c>
      <c r="R148" t="s">
        <v>642</v>
      </c>
      <c r="AM148" t="s">
        <v>1047</v>
      </c>
      <c r="AP148" t="s">
        <v>73</v>
      </c>
      <c r="AS148" s="1" t="s">
        <v>1048</v>
      </c>
      <c r="AU148" t="s">
        <v>64</v>
      </c>
    </row>
    <row r="149" spans="1:47" ht="60" hidden="1" x14ac:dyDescent="0.25">
      <c r="A149" t="s">
        <v>1049</v>
      </c>
      <c r="B149"/>
      <c r="C149"/>
      <c r="D149" t="s">
        <v>476</v>
      </c>
      <c r="G149" t="s">
        <v>946</v>
      </c>
      <c r="L149" t="s">
        <v>1050</v>
      </c>
      <c r="M149" t="s">
        <v>1051</v>
      </c>
      <c r="R149" t="s">
        <v>650</v>
      </c>
      <c r="AM149" t="s">
        <v>1052</v>
      </c>
      <c r="AP149" t="s">
        <v>73</v>
      </c>
      <c r="AS149" s="1" t="s">
        <v>1053</v>
      </c>
      <c r="AU149" t="s">
        <v>64</v>
      </c>
    </row>
    <row r="150" spans="1:47" hidden="1" x14ac:dyDescent="0.25">
      <c r="A150" t="s">
        <v>1054</v>
      </c>
      <c r="B150"/>
      <c r="C150"/>
      <c r="D150" t="s">
        <v>1055</v>
      </c>
      <c r="AP150" t="s">
        <v>73</v>
      </c>
      <c r="AU150" t="s">
        <v>64</v>
      </c>
    </row>
    <row r="151" spans="1:47" hidden="1" x14ac:dyDescent="0.25">
      <c r="A151" t="s">
        <v>1056</v>
      </c>
      <c r="B151"/>
      <c r="C151"/>
      <c r="D151" t="s">
        <v>1057</v>
      </c>
      <c r="G151" t="s">
        <v>253</v>
      </c>
      <c r="AP151" t="s">
        <v>73</v>
      </c>
      <c r="AS151" t="s">
        <v>1058</v>
      </c>
      <c r="AU151" t="s">
        <v>64</v>
      </c>
    </row>
    <row r="152" spans="1:47" hidden="1" x14ac:dyDescent="0.25">
      <c r="A152" t="s">
        <v>1059</v>
      </c>
      <c r="B152"/>
      <c r="C152"/>
      <c r="D152" t="s">
        <v>1060</v>
      </c>
      <c r="G152" t="s">
        <v>408</v>
      </c>
      <c r="AP152" t="s">
        <v>73</v>
      </c>
      <c r="AS152" t="s">
        <v>1061</v>
      </c>
      <c r="AU152" t="s">
        <v>64</v>
      </c>
    </row>
    <row r="153" spans="1:47" hidden="1" x14ac:dyDescent="0.25">
      <c r="A153" t="s">
        <v>1062</v>
      </c>
      <c r="B153"/>
      <c r="C153"/>
      <c r="D153" t="s">
        <v>1063</v>
      </c>
      <c r="Z153" t="s">
        <v>23</v>
      </c>
      <c r="AP153" t="s">
        <v>73</v>
      </c>
      <c r="AS153" t="s">
        <v>1064</v>
      </c>
      <c r="AU153" t="s">
        <v>64</v>
      </c>
    </row>
    <row r="154" spans="1:47" hidden="1" x14ac:dyDescent="0.25">
      <c r="A154" t="s">
        <v>1065</v>
      </c>
      <c r="B154"/>
      <c r="C154"/>
      <c r="D154" t="s">
        <v>1066</v>
      </c>
      <c r="G154" t="s">
        <v>307</v>
      </c>
      <c r="AP154" t="s">
        <v>73</v>
      </c>
      <c r="AS154" t="s">
        <v>1067</v>
      </c>
      <c r="AU154" t="s">
        <v>64</v>
      </c>
    </row>
    <row r="155" spans="1:47" hidden="1" x14ac:dyDescent="0.25">
      <c r="A155" t="s">
        <v>1068</v>
      </c>
      <c r="B155"/>
      <c r="C155"/>
      <c r="D155" t="s">
        <v>1069</v>
      </c>
      <c r="G155" t="s">
        <v>289</v>
      </c>
      <c r="AP155" t="s">
        <v>73</v>
      </c>
      <c r="AS155" t="s">
        <v>1070</v>
      </c>
      <c r="AU155" t="s">
        <v>64</v>
      </c>
    </row>
    <row r="156" spans="1:47" ht="30" x14ac:dyDescent="0.25">
      <c r="A156" t="s">
        <v>1071</v>
      </c>
      <c r="B156" s="3" t="s">
        <v>1279</v>
      </c>
      <c r="C156" s="3">
        <v>34</v>
      </c>
      <c r="D156" t="s">
        <v>1072</v>
      </c>
      <c r="E156" t="s">
        <v>1073</v>
      </c>
      <c r="L156" s="2" t="s">
        <v>521</v>
      </c>
      <c r="M156" t="s">
        <v>1074</v>
      </c>
      <c r="AN156" t="s">
        <v>274</v>
      </c>
      <c r="AP156" t="s">
        <v>174</v>
      </c>
      <c r="AS156" s="1" t="s">
        <v>1075</v>
      </c>
      <c r="AU156" t="s">
        <v>49</v>
      </c>
    </row>
    <row r="157" spans="1:47" x14ac:dyDescent="0.25">
      <c r="A157" t="s">
        <v>1076</v>
      </c>
      <c r="B157" s="3" t="s">
        <v>1279</v>
      </c>
      <c r="C157" s="3">
        <v>33</v>
      </c>
      <c r="D157" t="s">
        <v>1077</v>
      </c>
      <c r="E157" t="s">
        <v>1078</v>
      </c>
      <c r="L157" s="4" t="s">
        <v>1079</v>
      </c>
      <c r="AN157" t="s">
        <v>274</v>
      </c>
      <c r="AP157" t="s">
        <v>174</v>
      </c>
      <c r="AS157" t="s">
        <v>1080</v>
      </c>
      <c r="AU157" t="s">
        <v>176</v>
      </c>
    </row>
    <row r="158" spans="1:47" ht="45" hidden="1" x14ac:dyDescent="0.25">
      <c r="A158" t="s">
        <v>1081</v>
      </c>
      <c r="B158"/>
      <c r="C158"/>
      <c r="D158" t="s">
        <v>1082</v>
      </c>
      <c r="E158" t="s">
        <v>1083</v>
      </c>
      <c r="L158" t="s">
        <v>1084</v>
      </c>
      <c r="M158" t="s">
        <v>1085</v>
      </c>
      <c r="Q158" t="s">
        <v>853</v>
      </c>
      <c r="AM158" t="s">
        <v>1086</v>
      </c>
      <c r="AN158" t="s">
        <v>221</v>
      </c>
      <c r="AP158" t="s">
        <v>174</v>
      </c>
      <c r="AS158" s="1" t="s">
        <v>1087</v>
      </c>
      <c r="AU158" t="s">
        <v>84</v>
      </c>
    </row>
    <row r="159" spans="1:47" ht="45" hidden="1" x14ac:dyDescent="0.25">
      <c r="A159" t="s">
        <v>1088</v>
      </c>
      <c r="B159"/>
      <c r="C159"/>
      <c r="D159" t="s">
        <v>1089</v>
      </c>
      <c r="E159" t="s">
        <v>1090</v>
      </c>
      <c r="L159" t="s">
        <v>1091</v>
      </c>
      <c r="M159" t="s">
        <v>1092</v>
      </c>
      <c r="Q159" t="s">
        <v>595</v>
      </c>
      <c r="AM159" t="s">
        <v>1093</v>
      </c>
      <c r="AN159" t="s">
        <v>221</v>
      </c>
      <c r="AP159" t="s">
        <v>174</v>
      </c>
      <c r="AS159" s="1" t="s">
        <v>1094</v>
      </c>
      <c r="AU159" t="s">
        <v>176</v>
      </c>
    </row>
    <row r="160" spans="1:47" ht="60" hidden="1" x14ac:dyDescent="0.25">
      <c r="A160" t="s">
        <v>1095</v>
      </c>
      <c r="B160"/>
      <c r="C160"/>
      <c r="D160" t="s">
        <v>1096</v>
      </c>
      <c r="E160" t="s">
        <v>1097</v>
      </c>
      <c r="L160" t="s">
        <v>1098</v>
      </c>
      <c r="M160" t="s">
        <v>1099</v>
      </c>
      <c r="Q160" t="s">
        <v>954</v>
      </c>
      <c r="AM160" t="s">
        <v>1100</v>
      </c>
      <c r="AN160" t="s">
        <v>221</v>
      </c>
      <c r="AP160" t="s">
        <v>174</v>
      </c>
      <c r="AS160" s="1" t="s">
        <v>1101</v>
      </c>
      <c r="AU160" t="s">
        <v>49</v>
      </c>
    </row>
    <row r="161" spans="1:47" ht="60" hidden="1" x14ac:dyDescent="0.25">
      <c r="A161" t="s">
        <v>1102</v>
      </c>
      <c r="B161"/>
      <c r="C161"/>
      <c r="D161" t="s">
        <v>1103</v>
      </c>
      <c r="E161" t="s">
        <v>1104</v>
      </c>
      <c r="L161" t="s">
        <v>1105</v>
      </c>
      <c r="M161" t="s">
        <v>1106</v>
      </c>
      <c r="Q161" t="s">
        <v>859</v>
      </c>
      <c r="AM161" t="s">
        <v>1107</v>
      </c>
      <c r="AN161" t="s">
        <v>221</v>
      </c>
      <c r="AP161" t="s">
        <v>174</v>
      </c>
      <c r="AS161" s="1" t="s">
        <v>1108</v>
      </c>
      <c r="AU161" t="s">
        <v>49</v>
      </c>
    </row>
    <row r="162" spans="1:47" ht="60" hidden="1" x14ac:dyDescent="0.25">
      <c r="A162" t="s">
        <v>1109</v>
      </c>
      <c r="B162"/>
      <c r="C162"/>
      <c r="D162" t="s">
        <v>1110</v>
      </c>
      <c r="E162" t="s">
        <v>59</v>
      </c>
      <c r="G162" t="s">
        <v>441</v>
      </c>
      <c r="L162" t="s">
        <v>1111</v>
      </c>
      <c r="M162" t="s">
        <v>1112</v>
      </c>
      <c r="Q162" t="s">
        <v>865</v>
      </c>
      <c r="AM162" t="s">
        <v>1113</v>
      </c>
      <c r="AP162" t="s">
        <v>65</v>
      </c>
      <c r="AS162" s="1" t="s">
        <v>1114</v>
      </c>
      <c r="AU162" t="s">
        <v>49</v>
      </c>
    </row>
    <row r="163" spans="1:47" ht="45" hidden="1" x14ac:dyDescent="0.25">
      <c r="A163" t="s">
        <v>1115</v>
      </c>
      <c r="B163"/>
      <c r="C163"/>
      <c r="D163" t="s">
        <v>1116</v>
      </c>
      <c r="G163" t="s">
        <v>451</v>
      </c>
      <c r="L163" t="s">
        <v>1117</v>
      </c>
      <c r="M163" t="s">
        <v>1118</v>
      </c>
      <c r="AP163" t="s">
        <v>73</v>
      </c>
      <c r="AS163" s="1" t="s">
        <v>1119</v>
      </c>
      <c r="AU163" t="s">
        <v>64</v>
      </c>
    </row>
    <row r="164" spans="1:47" ht="60" x14ac:dyDescent="0.25">
      <c r="A164" t="s">
        <v>1120</v>
      </c>
      <c r="B164" s="3" t="s">
        <v>1279</v>
      </c>
      <c r="C164" s="3">
        <v>30</v>
      </c>
      <c r="D164" t="s">
        <v>1121</v>
      </c>
      <c r="E164" t="s">
        <v>1122</v>
      </c>
      <c r="J164" t="s">
        <v>423</v>
      </c>
      <c r="L164" s="2" t="s">
        <v>661</v>
      </c>
      <c r="M164" t="s">
        <v>1123</v>
      </c>
      <c r="AG164" t="s">
        <v>395</v>
      </c>
      <c r="AM164" t="s">
        <v>1124</v>
      </c>
      <c r="AN164" t="s">
        <v>274</v>
      </c>
      <c r="AO164" t="s">
        <v>64</v>
      </c>
      <c r="AP164" t="s">
        <v>174</v>
      </c>
      <c r="AS164" s="1" t="s">
        <v>1125</v>
      </c>
      <c r="AU164" t="s">
        <v>49</v>
      </c>
    </row>
    <row r="165" spans="1:47" ht="45" x14ac:dyDescent="0.25">
      <c r="A165" t="s">
        <v>1126</v>
      </c>
      <c r="B165" s="3" t="s">
        <v>1279</v>
      </c>
      <c r="C165" s="3">
        <v>25</v>
      </c>
      <c r="D165" t="s">
        <v>1127</v>
      </c>
      <c r="E165" t="s">
        <v>1128</v>
      </c>
      <c r="J165" t="s">
        <v>432</v>
      </c>
      <c r="L165" s="4" t="s">
        <v>1129</v>
      </c>
      <c r="M165" t="s">
        <v>1130</v>
      </c>
      <c r="AN165" t="s">
        <v>221</v>
      </c>
      <c r="AO165" t="s">
        <v>64</v>
      </c>
      <c r="AP165" t="s">
        <v>174</v>
      </c>
      <c r="AS165" s="1" t="s">
        <v>1131</v>
      </c>
      <c r="AU165" t="s">
        <v>176</v>
      </c>
    </row>
    <row r="166" spans="1:47" ht="60" hidden="1" x14ac:dyDescent="0.25">
      <c r="A166" t="s">
        <v>1132</v>
      </c>
      <c r="B166"/>
      <c r="C166"/>
      <c r="D166" t="s">
        <v>1133</v>
      </c>
      <c r="J166" t="s">
        <v>410</v>
      </c>
      <c r="L166" t="s">
        <v>1134</v>
      </c>
      <c r="M166" t="s">
        <v>1135</v>
      </c>
      <c r="AP166" t="s">
        <v>73</v>
      </c>
      <c r="AS166" s="1" t="s">
        <v>1136</v>
      </c>
      <c r="AU166" t="s">
        <v>64</v>
      </c>
    </row>
    <row r="167" spans="1:47" ht="60" hidden="1" x14ac:dyDescent="0.25">
      <c r="A167" t="s">
        <v>1137</v>
      </c>
      <c r="B167"/>
      <c r="C167"/>
      <c r="D167" t="s">
        <v>789</v>
      </c>
      <c r="G167" t="s">
        <v>543</v>
      </c>
      <c r="L167" t="s">
        <v>1138</v>
      </c>
      <c r="M167" t="s">
        <v>1139</v>
      </c>
      <c r="AP167" t="s">
        <v>73</v>
      </c>
      <c r="AS167" s="1" t="s">
        <v>1140</v>
      </c>
      <c r="AU167" t="s">
        <v>64</v>
      </c>
    </row>
    <row r="168" spans="1:47" ht="45" hidden="1" x14ac:dyDescent="0.25">
      <c r="A168" t="s">
        <v>1141</v>
      </c>
      <c r="B168"/>
      <c r="C168"/>
      <c r="D168" t="s">
        <v>776</v>
      </c>
      <c r="G168" t="s">
        <v>552</v>
      </c>
      <c r="L168" t="s">
        <v>1142</v>
      </c>
      <c r="M168" t="s">
        <v>1143</v>
      </c>
      <c r="AP168" t="s">
        <v>73</v>
      </c>
      <c r="AS168" s="1" t="s">
        <v>1144</v>
      </c>
      <c r="AU168" t="s">
        <v>64</v>
      </c>
    </row>
    <row r="169" spans="1:47" ht="30" hidden="1" x14ac:dyDescent="0.25">
      <c r="A169" t="s">
        <v>1145</v>
      </c>
      <c r="B169"/>
      <c r="C169"/>
      <c r="D169" t="s">
        <v>1146</v>
      </c>
      <c r="L169" t="s">
        <v>1147</v>
      </c>
      <c r="M169" t="s">
        <v>1148</v>
      </c>
      <c r="AP169" t="s">
        <v>73</v>
      </c>
      <c r="AS169" s="1" t="s">
        <v>1149</v>
      </c>
      <c r="AU169" t="s">
        <v>64</v>
      </c>
    </row>
    <row r="170" spans="1:47" ht="45" hidden="1" x14ac:dyDescent="0.25">
      <c r="A170" t="s">
        <v>1150</v>
      </c>
      <c r="B170"/>
      <c r="C170"/>
      <c r="D170" t="s">
        <v>1151</v>
      </c>
      <c r="E170" t="s">
        <v>1152</v>
      </c>
      <c r="L170" t="s">
        <v>1153</v>
      </c>
      <c r="M170" t="s">
        <v>1154</v>
      </c>
      <c r="Q170" t="s">
        <v>195</v>
      </c>
      <c r="AM170" t="s">
        <v>1155</v>
      </c>
      <c r="AN170" t="s">
        <v>221</v>
      </c>
      <c r="AP170" t="s">
        <v>174</v>
      </c>
      <c r="AS170" s="1" t="s">
        <v>1156</v>
      </c>
      <c r="AU170" t="s">
        <v>176</v>
      </c>
    </row>
    <row r="171" spans="1:47" ht="45" hidden="1" x14ac:dyDescent="0.25">
      <c r="A171" t="s">
        <v>1157</v>
      </c>
      <c r="B171"/>
      <c r="C171"/>
      <c r="D171" t="s">
        <v>1158</v>
      </c>
      <c r="E171" t="s">
        <v>1159</v>
      </c>
      <c r="L171" t="s">
        <v>1160</v>
      </c>
      <c r="M171" t="s">
        <v>1161</v>
      </c>
      <c r="Q171" t="s">
        <v>183</v>
      </c>
      <c r="AM171" t="s">
        <v>1162</v>
      </c>
      <c r="AN171" t="s">
        <v>221</v>
      </c>
      <c r="AP171" t="s">
        <v>174</v>
      </c>
      <c r="AS171" s="1" t="s">
        <v>1163</v>
      </c>
      <c r="AU171" t="s">
        <v>84</v>
      </c>
    </row>
    <row r="172" spans="1:47" ht="45" hidden="1" x14ac:dyDescent="0.25">
      <c r="A172" t="s">
        <v>1164</v>
      </c>
      <c r="B172"/>
      <c r="C172"/>
      <c r="D172" t="s">
        <v>1165</v>
      </c>
      <c r="Q172" t="s">
        <v>1166</v>
      </c>
      <c r="R172" t="s">
        <v>617</v>
      </c>
      <c r="AM172" t="s">
        <v>1167</v>
      </c>
      <c r="AP172" t="s">
        <v>73</v>
      </c>
      <c r="AS172" s="1" t="s">
        <v>1168</v>
      </c>
      <c r="AU172" t="s">
        <v>64</v>
      </c>
    </row>
    <row r="173" spans="1:47" ht="75" hidden="1" x14ac:dyDescent="0.25">
      <c r="A173" t="s">
        <v>1169</v>
      </c>
      <c r="B173"/>
      <c r="C173"/>
      <c r="D173" t="s">
        <v>1170</v>
      </c>
      <c r="E173" t="s">
        <v>1171</v>
      </c>
      <c r="L173" t="s">
        <v>1172</v>
      </c>
      <c r="Q173" t="s">
        <v>571</v>
      </c>
      <c r="R173" t="s">
        <v>1173</v>
      </c>
      <c r="AA173" t="s">
        <v>1174</v>
      </c>
      <c r="AM173" t="s">
        <v>1173</v>
      </c>
      <c r="AN173" t="s">
        <v>221</v>
      </c>
      <c r="AP173" t="s">
        <v>174</v>
      </c>
      <c r="AS173" s="1" t="s">
        <v>1175</v>
      </c>
      <c r="AU173" t="s">
        <v>49</v>
      </c>
    </row>
    <row r="174" spans="1:47" hidden="1" x14ac:dyDescent="0.25">
      <c r="A174" t="s">
        <v>1176</v>
      </c>
      <c r="B174"/>
      <c r="C174"/>
      <c r="D174" t="s">
        <v>1177</v>
      </c>
      <c r="AP174" t="s">
        <v>73</v>
      </c>
      <c r="AU174" t="s">
        <v>64</v>
      </c>
    </row>
    <row r="175" spans="1:47" hidden="1" x14ac:dyDescent="0.25">
      <c r="A175" t="s">
        <v>1178</v>
      </c>
      <c r="B175"/>
      <c r="C175"/>
      <c r="D175" t="s">
        <v>1179</v>
      </c>
      <c r="AP175" t="s">
        <v>73</v>
      </c>
      <c r="AU175" t="s">
        <v>64</v>
      </c>
    </row>
    <row r="176" spans="1:47" hidden="1" x14ac:dyDescent="0.25">
      <c r="A176" t="s">
        <v>1180</v>
      </c>
      <c r="B176"/>
      <c r="C176"/>
      <c r="D176" t="s">
        <v>1181</v>
      </c>
      <c r="AP176" t="s">
        <v>73</v>
      </c>
      <c r="AU176" t="s">
        <v>64</v>
      </c>
    </row>
    <row r="177" spans="1:48" hidden="1" x14ac:dyDescent="0.25">
      <c r="A177" t="s">
        <v>1182</v>
      </c>
      <c r="B177"/>
      <c r="C177"/>
      <c r="D177" t="s">
        <v>1183</v>
      </c>
      <c r="AP177" t="s">
        <v>73</v>
      </c>
      <c r="AU177" t="s">
        <v>64</v>
      </c>
    </row>
    <row r="178" spans="1:48" hidden="1" x14ac:dyDescent="0.25">
      <c r="A178" t="s">
        <v>1184</v>
      </c>
      <c r="B178"/>
      <c r="C178"/>
      <c r="D178" t="s">
        <v>1185</v>
      </c>
      <c r="G178" t="s">
        <v>640</v>
      </c>
      <c r="AP178" t="s">
        <v>73</v>
      </c>
      <c r="AS178" t="s">
        <v>1186</v>
      </c>
      <c r="AU178" t="s">
        <v>64</v>
      </c>
    </row>
    <row r="179" spans="1:48" hidden="1" x14ac:dyDescent="0.25">
      <c r="A179" t="s">
        <v>1187</v>
      </c>
      <c r="B179"/>
      <c r="C179"/>
      <c r="D179" t="s">
        <v>1188</v>
      </c>
      <c r="G179" t="s">
        <v>631</v>
      </c>
      <c r="AP179" t="s">
        <v>73</v>
      </c>
      <c r="AS179" t="s">
        <v>1189</v>
      </c>
      <c r="AU179" t="s">
        <v>64</v>
      </c>
    </row>
    <row r="180" spans="1:48" hidden="1" x14ac:dyDescent="0.25">
      <c r="A180" t="s">
        <v>1190</v>
      </c>
      <c r="B180"/>
      <c r="C180"/>
      <c r="D180" t="s">
        <v>495</v>
      </c>
      <c r="E180" t="s">
        <v>1191</v>
      </c>
      <c r="F180" t="s">
        <v>1190</v>
      </c>
      <c r="AU180" t="s">
        <v>49</v>
      </c>
      <c r="AV180" t="s">
        <v>50</v>
      </c>
    </row>
    <row r="181" spans="1:48" hidden="1" x14ac:dyDescent="0.25">
      <c r="A181" t="s">
        <v>1192</v>
      </c>
      <c r="B181"/>
      <c r="C181"/>
      <c r="D181" t="s">
        <v>1193</v>
      </c>
      <c r="E181" t="s">
        <v>1194</v>
      </c>
      <c r="F181" t="s">
        <v>1192</v>
      </c>
      <c r="AU181" t="s">
        <v>49</v>
      </c>
      <c r="AV181" t="s">
        <v>50</v>
      </c>
    </row>
    <row r="182" spans="1:48" hidden="1" x14ac:dyDescent="0.25">
      <c r="A182" t="s">
        <v>1195</v>
      </c>
      <c r="B182"/>
      <c r="C182"/>
      <c r="D182" t="s">
        <v>1196</v>
      </c>
      <c r="E182" t="s">
        <v>1197</v>
      </c>
      <c r="F182" t="s">
        <v>1195</v>
      </c>
      <c r="AU182" t="s">
        <v>49</v>
      </c>
      <c r="AV182" t="s">
        <v>50</v>
      </c>
    </row>
    <row r="183" spans="1:48" hidden="1" x14ac:dyDescent="0.25">
      <c r="A183" t="s">
        <v>1198</v>
      </c>
      <c r="B183"/>
      <c r="C183"/>
      <c r="D183" t="s">
        <v>1199</v>
      </c>
      <c r="E183" t="s">
        <v>1200</v>
      </c>
      <c r="F183" t="s">
        <v>1198</v>
      </c>
      <c r="AU183" t="s">
        <v>49</v>
      </c>
      <c r="AV183" t="s">
        <v>50</v>
      </c>
    </row>
    <row r="184" spans="1:48" hidden="1" x14ac:dyDescent="0.25">
      <c r="A184" t="s">
        <v>1201</v>
      </c>
      <c r="B184"/>
      <c r="C184"/>
      <c r="D184" t="s">
        <v>1202</v>
      </c>
      <c r="E184" t="s">
        <v>1203</v>
      </c>
      <c r="F184" t="s">
        <v>1201</v>
      </c>
      <c r="AU184" t="s">
        <v>49</v>
      </c>
      <c r="AV184" t="s">
        <v>50</v>
      </c>
    </row>
    <row r="185" spans="1:48" hidden="1" x14ac:dyDescent="0.25">
      <c r="A185" t="s">
        <v>1204</v>
      </c>
      <c r="B185"/>
      <c r="C185"/>
      <c r="D185" t="s">
        <v>1205</v>
      </c>
      <c r="E185" t="s">
        <v>1206</v>
      </c>
      <c r="F185" t="s">
        <v>1204</v>
      </c>
      <c r="AU185" t="s">
        <v>49</v>
      </c>
      <c r="AV185" t="s">
        <v>50</v>
      </c>
    </row>
    <row r="186" spans="1:48" hidden="1" x14ac:dyDescent="0.25">
      <c r="A186" t="s">
        <v>1204</v>
      </c>
      <c r="B186"/>
      <c r="C186"/>
      <c r="D186" t="s">
        <v>1207</v>
      </c>
      <c r="E186" t="s">
        <v>1206</v>
      </c>
      <c r="F186" t="s">
        <v>1204</v>
      </c>
      <c r="AU186" t="s">
        <v>49</v>
      </c>
      <c r="AV186" t="s">
        <v>50</v>
      </c>
    </row>
    <row r="187" spans="1:48" hidden="1" x14ac:dyDescent="0.25">
      <c r="A187" t="s">
        <v>1204</v>
      </c>
      <c r="B187"/>
      <c r="C187"/>
      <c r="D187" t="s">
        <v>1208</v>
      </c>
      <c r="E187" t="s">
        <v>1206</v>
      </c>
      <c r="F187" t="s">
        <v>1204</v>
      </c>
      <c r="AU187" t="s">
        <v>49</v>
      </c>
      <c r="AV187" t="s">
        <v>50</v>
      </c>
    </row>
    <row r="188" spans="1:48" hidden="1" x14ac:dyDescent="0.25">
      <c r="A188" t="s">
        <v>1204</v>
      </c>
      <c r="B188"/>
      <c r="C188"/>
      <c r="D188" t="s">
        <v>1209</v>
      </c>
      <c r="E188" t="s">
        <v>1206</v>
      </c>
      <c r="F188" t="s">
        <v>1204</v>
      </c>
      <c r="AU188" t="s">
        <v>49</v>
      </c>
      <c r="AV188" t="s">
        <v>50</v>
      </c>
    </row>
    <row r="189" spans="1:48" hidden="1" x14ac:dyDescent="0.25">
      <c r="A189" t="s">
        <v>1204</v>
      </c>
      <c r="B189"/>
      <c r="C189"/>
      <c r="D189" t="s">
        <v>1210</v>
      </c>
      <c r="E189" t="s">
        <v>1206</v>
      </c>
      <c r="F189" t="s">
        <v>1204</v>
      </c>
      <c r="AU189" t="s">
        <v>49</v>
      </c>
      <c r="AV189" t="s">
        <v>50</v>
      </c>
    </row>
    <row r="190" spans="1:48" hidden="1" x14ac:dyDescent="0.25">
      <c r="A190" t="s">
        <v>1204</v>
      </c>
      <c r="B190"/>
      <c r="C190"/>
      <c r="D190" t="s">
        <v>1211</v>
      </c>
      <c r="E190" t="s">
        <v>1206</v>
      </c>
      <c r="F190" t="s">
        <v>1204</v>
      </c>
      <c r="AU190" t="s">
        <v>49</v>
      </c>
      <c r="AV190" t="s">
        <v>50</v>
      </c>
    </row>
    <row r="191" spans="1:48" hidden="1" x14ac:dyDescent="0.25">
      <c r="A191" t="s">
        <v>1212</v>
      </c>
      <c r="B191"/>
      <c r="C191"/>
      <c r="D191" t="s">
        <v>1213</v>
      </c>
      <c r="E191" t="s">
        <v>1214</v>
      </c>
      <c r="F191" t="s">
        <v>1212</v>
      </c>
      <c r="AU191" t="s">
        <v>49</v>
      </c>
      <c r="AV191" t="s">
        <v>50</v>
      </c>
    </row>
    <row r="192" spans="1:48" hidden="1" x14ac:dyDescent="0.25">
      <c r="A192" t="s">
        <v>1212</v>
      </c>
      <c r="B192"/>
      <c r="C192"/>
      <c r="D192" t="s">
        <v>1215</v>
      </c>
      <c r="E192" t="s">
        <v>1214</v>
      </c>
      <c r="F192" t="s">
        <v>1212</v>
      </c>
      <c r="AU192" t="s">
        <v>49</v>
      </c>
      <c r="AV192" t="s">
        <v>50</v>
      </c>
    </row>
    <row r="193" spans="1:48" hidden="1" x14ac:dyDescent="0.25">
      <c r="A193" t="s">
        <v>1216</v>
      </c>
      <c r="B193"/>
      <c r="C193"/>
      <c r="D193" t="s">
        <v>1217</v>
      </c>
      <c r="E193" t="s">
        <v>1218</v>
      </c>
      <c r="F193" t="s">
        <v>1216</v>
      </c>
      <c r="AU193" t="s">
        <v>49</v>
      </c>
      <c r="AV193" t="s">
        <v>50</v>
      </c>
    </row>
    <row r="194" spans="1:48" hidden="1" x14ac:dyDescent="0.25">
      <c r="A194" t="s">
        <v>1216</v>
      </c>
      <c r="B194"/>
      <c r="C194"/>
      <c r="D194" t="s">
        <v>1219</v>
      </c>
      <c r="E194" t="s">
        <v>1218</v>
      </c>
      <c r="F194" t="s">
        <v>1216</v>
      </c>
      <c r="AU194" t="s">
        <v>49</v>
      </c>
      <c r="AV194" t="s">
        <v>50</v>
      </c>
    </row>
    <row r="195" spans="1:48" hidden="1" x14ac:dyDescent="0.25">
      <c r="A195" t="s">
        <v>1220</v>
      </c>
      <c r="B195"/>
      <c r="C195"/>
      <c r="D195" t="s">
        <v>524</v>
      </c>
      <c r="E195" t="s">
        <v>1221</v>
      </c>
      <c r="F195" t="s">
        <v>1220</v>
      </c>
      <c r="AU195" t="s">
        <v>49</v>
      </c>
      <c r="AV195" t="s">
        <v>50</v>
      </c>
    </row>
    <row r="196" spans="1:48" hidden="1" x14ac:dyDescent="0.25">
      <c r="A196" t="s">
        <v>1222</v>
      </c>
      <c r="B196"/>
      <c r="C196"/>
      <c r="D196" t="s">
        <v>1223</v>
      </c>
      <c r="E196" t="s">
        <v>1224</v>
      </c>
      <c r="F196" t="s">
        <v>1222</v>
      </c>
      <c r="AU196" t="s">
        <v>49</v>
      </c>
      <c r="AV196" t="s">
        <v>50</v>
      </c>
    </row>
    <row r="197" spans="1:48" hidden="1" x14ac:dyDescent="0.25">
      <c r="A197" t="s">
        <v>1225</v>
      </c>
      <c r="B197"/>
      <c r="C197"/>
      <c r="D197" t="s">
        <v>487</v>
      </c>
      <c r="E197" t="s">
        <v>1226</v>
      </c>
      <c r="F197" t="s">
        <v>1225</v>
      </c>
      <c r="AU197" t="s">
        <v>49</v>
      </c>
      <c r="AV197" t="s">
        <v>50</v>
      </c>
    </row>
    <row r="198" spans="1:48" hidden="1" x14ac:dyDescent="0.25">
      <c r="A198" t="s">
        <v>1225</v>
      </c>
      <c r="B198"/>
      <c r="C198"/>
      <c r="D198" t="s">
        <v>1227</v>
      </c>
      <c r="E198" t="s">
        <v>1226</v>
      </c>
      <c r="F198" t="s">
        <v>1225</v>
      </c>
      <c r="AU198" t="s">
        <v>49</v>
      </c>
      <c r="AV198" t="s">
        <v>50</v>
      </c>
    </row>
    <row r="199" spans="1:48" hidden="1" x14ac:dyDescent="0.25">
      <c r="A199" t="s">
        <v>1225</v>
      </c>
      <c r="B199"/>
      <c r="C199"/>
      <c r="D199" t="s">
        <v>1228</v>
      </c>
      <c r="E199" t="s">
        <v>1226</v>
      </c>
      <c r="F199" t="s">
        <v>1225</v>
      </c>
      <c r="AU199" t="s">
        <v>49</v>
      </c>
      <c r="AV199" t="s">
        <v>50</v>
      </c>
    </row>
    <row r="200" spans="1:48" hidden="1" x14ac:dyDescent="0.25">
      <c r="A200" t="s">
        <v>1225</v>
      </c>
      <c r="B200"/>
      <c r="C200"/>
      <c r="D200" t="s">
        <v>1229</v>
      </c>
      <c r="E200" t="s">
        <v>1226</v>
      </c>
      <c r="F200" t="s">
        <v>1225</v>
      </c>
      <c r="AU200" t="s">
        <v>49</v>
      </c>
      <c r="AV200" t="s">
        <v>50</v>
      </c>
    </row>
    <row r="201" spans="1:48" hidden="1" x14ac:dyDescent="0.25">
      <c r="A201" t="s">
        <v>1225</v>
      </c>
      <c r="B201"/>
      <c r="C201"/>
      <c r="D201" t="s">
        <v>1230</v>
      </c>
      <c r="E201" t="s">
        <v>1226</v>
      </c>
      <c r="F201" t="s">
        <v>1225</v>
      </c>
      <c r="AU201" t="s">
        <v>49</v>
      </c>
      <c r="AV201" t="s">
        <v>50</v>
      </c>
    </row>
    <row r="202" spans="1:48" hidden="1" x14ac:dyDescent="0.25">
      <c r="A202" t="s">
        <v>1225</v>
      </c>
      <c r="B202"/>
      <c r="C202"/>
      <c r="D202" t="s">
        <v>1231</v>
      </c>
      <c r="E202" t="s">
        <v>1226</v>
      </c>
      <c r="F202" t="s">
        <v>1225</v>
      </c>
      <c r="AU202" t="s">
        <v>49</v>
      </c>
      <c r="AV202" t="s">
        <v>50</v>
      </c>
    </row>
    <row r="203" spans="1:48" hidden="1" x14ac:dyDescent="0.25">
      <c r="A203" t="s">
        <v>1232</v>
      </c>
      <c r="B203"/>
      <c r="C203"/>
      <c r="D203" t="s">
        <v>1233</v>
      </c>
      <c r="E203" t="s">
        <v>1234</v>
      </c>
      <c r="F203" t="s">
        <v>1232</v>
      </c>
      <c r="AU203" t="s">
        <v>49</v>
      </c>
      <c r="AV203" t="s">
        <v>50</v>
      </c>
    </row>
    <row r="204" spans="1:48" hidden="1" x14ac:dyDescent="0.25">
      <c r="A204" t="s">
        <v>1232</v>
      </c>
      <c r="B204"/>
      <c r="C204"/>
      <c r="D204" t="s">
        <v>1235</v>
      </c>
      <c r="E204" t="s">
        <v>1234</v>
      </c>
      <c r="F204" t="s">
        <v>1232</v>
      </c>
      <c r="AU204" t="s">
        <v>49</v>
      </c>
      <c r="AV204" t="s">
        <v>50</v>
      </c>
    </row>
    <row r="205" spans="1:48" hidden="1" x14ac:dyDescent="0.25">
      <c r="A205" t="s">
        <v>1236</v>
      </c>
      <c r="B205"/>
      <c r="C205"/>
      <c r="D205" t="s">
        <v>1237</v>
      </c>
      <c r="E205" t="s">
        <v>1238</v>
      </c>
      <c r="F205" t="s">
        <v>1236</v>
      </c>
      <c r="AU205" t="s">
        <v>49</v>
      </c>
      <c r="AV205" t="s">
        <v>50</v>
      </c>
    </row>
    <row r="206" spans="1:48" hidden="1" x14ac:dyDescent="0.25">
      <c r="A206" t="s">
        <v>1239</v>
      </c>
      <c r="B206"/>
      <c r="C206"/>
      <c r="D206" t="s">
        <v>1240</v>
      </c>
      <c r="E206" t="s">
        <v>1241</v>
      </c>
      <c r="F206" t="s">
        <v>1239</v>
      </c>
      <c r="AU206" t="s">
        <v>49</v>
      </c>
      <c r="AV206" t="s">
        <v>50</v>
      </c>
    </row>
    <row r="207" spans="1:48" hidden="1" x14ac:dyDescent="0.25">
      <c r="A207" t="s">
        <v>1242</v>
      </c>
      <c r="B207"/>
      <c r="C207"/>
      <c r="D207" t="s">
        <v>1243</v>
      </c>
      <c r="E207" t="s">
        <v>1244</v>
      </c>
      <c r="F207" t="s">
        <v>1242</v>
      </c>
      <c r="AU207" t="s">
        <v>49</v>
      </c>
      <c r="AV207" t="s">
        <v>50</v>
      </c>
    </row>
    <row r="208" spans="1:48" hidden="1" x14ac:dyDescent="0.25">
      <c r="A208" t="s">
        <v>1245</v>
      </c>
      <c r="B208"/>
      <c r="C208"/>
      <c r="D208" t="s">
        <v>1246</v>
      </c>
      <c r="E208" t="s">
        <v>1247</v>
      </c>
      <c r="F208" t="s">
        <v>1245</v>
      </c>
      <c r="AU208" t="s">
        <v>49</v>
      </c>
      <c r="AV208" t="s">
        <v>50</v>
      </c>
    </row>
    <row r="209" spans="1:48" hidden="1" x14ac:dyDescent="0.25">
      <c r="A209" t="s">
        <v>1248</v>
      </c>
      <c r="B209"/>
      <c r="C209"/>
      <c r="D209" t="s">
        <v>1249</v>
      </c>
      <c r="E209" t="s">
        <v>1250</v>
      </c>
      <c r="F209" t="s">
        <v>1248</v>
      </c>
      <c r="AU209" t="s">
        <v>49</v>
      </c>
      <c r="AV209" t="s">
        <v>50</v>
      </c>
    </row>
    <row r="210" spans="1:48" hidden="1" x14ac:dyDescent="0.25">
      <c r="A210" t="s">
        <v>1248</v>
      </c>
      <c r="B210"/>
      <c r="C210"/>
      <c r="D210" t="s">
        <v>1251</v>
      </c>
      <c r="E210" t="s">
        <v>1250</v>
      </c>
      <c r="F210" t="s">
        <v>1248</v>
      </c>
      <c r="AU210" t="s">
        <v>49</v>
      </c>
      <c r="AV210" t="s">
        <v>50</v>
      </c>
    </row>
    <row r="211" spans="1:48" hidden="1" x14ac:dyDescent="0.25">
      <c r="A211" t="s">
        <v>1248</v>
      </c>
      <c r="B211"/>
      <c r="C211"/>
      <c r="D211" t="s">
        <v>1252</v>
      </c>
      <c r="E211" t="s">
        <v>1250</v>
      </c>
      <c r="F211" t="s">
        <v>1248</v>
      </c>
      <c r="AU211" t="s">
        <v>49</v>
      </c>
      <c r="AV211" t="s">
        <v>50</v>
      </c>
    </row>
    <row r="212" spans="1:48" hidden="1" x14ac:dyDescent="0.25">
      <c r="A212" t="s">
        <v>1248</v>
      </c>
      <c r="B212"/>
      <c r="C212"/>
      <c r="D212" t="s">
        <v>1253</v>
      </c>
      <c r="E212" t="s">
        <v>1250</v>
      </c>
      <c r="F212" t="s">
        <v>1248</v>
      </c>
      <c r="AU212" t="s">
        <v>49</v>
      </c>
      <c r="AV212" t="s">
        <v>50</v>
      </c>
    </row>
    <row r="213" spans="1:48" hidden="1" x14ac:dyDescent="0.25">
      <c r="A213" t="s">
        <v>1248</v>
      </c>
      <c r="B213"/>
      <c r="C213"/>
      <c r="D213" t="s">
        <v>1254</v>
      </c>
      <c r="E213" t="s">
        <v>1250</v>
      </c>
      <c r="F213" t="s">
        <v>1248</v>
      </c>
      <c r="AU213" t="s">
        <v>49</v>
      </c>
      <c r="AV213" t="s">
        <v>50</v>
      </c>
    </row>
    <row r="214" spans="1:48" hidden="1" x14ac:dyDescent="0.25">
      <c r="A214" t="s">
        <v>1248</v>
      </c>
      <c r="B214"/>
      <c r="C214"/>
      <c r="D214" t="s">
        <v>1255</v>
      </c>
      <c r="E214" t="s">
        <v>1250</v>
      </c>
      <c r="F214" t="s">
        <v>1248</v>
      </c>
      <c r="AU214" t="s">
        <v>49</v>
      </c>
      <c r="AV214" t="s">
        <v>50</v>
      </c>
    </row>
    <row r="215" spans="1:48" hidden="1" x14ac:dyDescent="0.25">
      <c r="A215" t="s">
        <v>1248</v>
      </c>
      <c r="B215"/>
      <c r="C215"/>
      <c r="D215" t="s">
        <v>1256</v>
      </c>
      <c r="E215" t="s">
        <v>1250</v>
      </c>
      <c r="F215" t="s">
        <v>1248</v>
      </c>
      <c r="AU215" t="s">
        <v>49</v>
      </c>
      <c r="AV215" t="s">
        <v>50</v>
      </c>
    </row>
    <row r="216" spans="1:48" hidden="1" x14ac:dyDescent="0.25">
      <c r="A216" t="s">
        <v>1248</v>
      </c>
      <c r="B216"/>
      <c r="C216"/>
      <c r="D216" t="s">
        <v>1257</v>
      </c>
      <c r="E216" t="s">
        <v>1250</v>
      </c>
      <c r="F216" t="s">
        <v>1248</v>
      </c>
      <c r="AU216" t="s">
        <v>49</v>
      </c>
      <c r="AV216" t="s">
        <v>50</v>
      </c>
    </row>
    <row r="217" spans="1:48" hidden="1" x14ac:dyDescent="0.25">
      <c r="A217" t="s">
        <v>1248</v>
      </c>
      <c r="B217"/>
      <c r="C217"/>
      <c r="D217" t="s">
        <v>1258</v>
      </c>
      <c r="E217" t="s">
        <v>1250</v>
      </c>
      <c r="F217" t="s">
        <v>1248</v>
      </c>
      <c r="AU217" t="s">
        <v>49</v>
      </c>
      <c r="AV217" t="s">
        <v>50</v>
      </c>
    </row>
    <row r="218" spans="1:48" hidden="1" x14ac:dyDescent="0.25">
      <c r="A218" t="s">
        <v>1248</v>
      </c>
      <c r="B218"/>
      <c r="C218"/>
      <c r="D218" t="s">
        <v>1259</v>
      </c>
      <c r="E218" t="s">
        <v>1250</v>
      </c>
      <c r="F218" t="s">
        <v>1248</v>
      </c>
      <c r="AU218" t="s">
        <v>49</v>
      </c>
      <c r="AV218" t="s">
        <v>50</v>
      </c>
    </row>
    <row r="219" spans="1:48" hidden="1" x14ac:dyDescent="0.25">
      <c r="A219" t="s">
        <v>1248</v>
      </c>
      <c r="B219"/>
      <c r="C219"/>
      <c r="D219" t="s">
        <v>1260</v>
      </c>
      <c r="E219" t="s">
        <v>1250</v>
      </c>
      <c r="F219" t="s">
        <v>1248</v>
      </c>
      <c r="AU219" t="s">
        <v>49</v>
      </c>
      <c r="AV219" t="s">
        <v>50</v>
      </c>
    </row>
    <row r="220" spans="1:48" hidden="1" x14ac:dyDescent="0.25">
      <c r="A220" t="s">
        <v>1261</v>
      </c>
      <c r="B220"/>
      <c r="C220"/>
      <c r="D220" t="s">
        <v>1262</v>
      </c>
      <c r="E220" t="s">
        <v>1263</v>
      </c>
      <c r="F220" t="s">
        <v>1261</v>
      </c>
      <c r="AU220" t="s">
        <v>49</v>
      </c>
      <c r="AV220" t="s">
        <v>50</v>
      </c>
    </row>
    <row r="221" spans="1:48" hidden="1" x14ac:dyDescent="0.25">
      <c r="A221" t="s">
        <v>1264</v>
      </c>
      <c r="B221"/>
      <c r="C221"/>
      <c r="D221" t="s">
        <v>1265</v>
      </c>
      <c r="E221" t="s">
        <v>1266</v>
      </c>
      <c r="F221" t="s">
        <v>1264</v>
      </c>
      <c r="AU221" t="s">
        <v>49</v>
      </c>
      <c r="AV221" t="s">
        <v>50</v>
      </c>
    </row>
    <row r="222" spans="1:48" hidden="1" x14ac:dyDescent="0.25">
      <c r="A222" t="s">
        <v>1267</v>
      </c>
      <c r="B222"/>
      <c r="C222"/>
      <c r="D222" t="s">
        <v>1268</v>
      </c>
      <c r="E222" t="s">
        <v>1269</v>
      </c>
      <c r="F222" t="s">
        <v>1267</v>
      </c>
      <c r="AU222" t="s">
        <v>49</v>
      </c>
      <c r="AV222" t="s">
        <v>50</v>
      </c>
    </row>
    <row r="223" spans="1:48" hidden="1" x14ac:dyDescent="0.25">
      <c r="A223" t="s">
        <v>1270</v>
      </c>
      <c r="B223"/>
      <c r="C223"/>
      <c r="D223" t="s">
        <v>1271</v>
      </c>
      <c r="E223" t="s">
        <v>1272</v>
      </c>
      <c r="F223" t="s">
        <v>1270</v>
      </c>
      <c r="AU223" t="s">
        <v>49</v>
      </c>
      <c r="AV223" t="s">
        <v>50</v>
      </c>
    </row>
    <row r="224" spans="1:48" hidden="1" x14ac:dyDescent="0.25">
      <c r="A224" t="s">
        <v>1273</v>
      </c>
      <c r="B224"/>
      <c r="C224"/>
      <c r="D224" t="s">
        <v>1274</v>
      </c>
      <c r="E224" t="s">
        <v>1275</v>
      </c>
      <c r="F224" t="s">
        <v>1273</v>
      </c>
      <c r="AU224" t="s">
        <v>49</v>
      </c>
      <c r="AV224" t="s">
        <v>50</v>
      </c>
    </row>
    <row r="225" spans="1:48" hidden="1" x14ac:dyDescent="0.25">
      <c r="A225" t="s">
        <v>1276</v>
      </c>
      <c r="B225"/>
      <c r="C225"/>
      <c r="D225" t="s">
        <v>1277</v>
      </c>
      <c r="E225" t="s">
        <v>1278</v>
      </c>
      <c r="F225" t="s">
        <v>1276</v>
      </c>
      <c r="AU225" t="s">
        <v>49</v>
      </c>
      <c r="AV225" t="s">
        <v>50</v>
      </c>
    </row>
  </sheetData>
  <autoFilter ref="A1:AW225" xr:uid="{C6EEBB58-15EB-4567-BC70-0EE8FA4A8CC1}">
    <filterColumn colId="4">
      <filters>
        <filter val="BUS_CS1#"/>
        <filter val="BUS_D0"/>
        <filter val="BUS_D1"/>
        <filter val="BUS_D10"/>
        <filter val="BUS_D11"/>
        <filter val="BUS_D12"/>
        <filter val="BUS_D13"/>
        <filter val="BUS_D14"/>
        <filter val="BUS_D15"/>
        <filter val="BUS_D2"/>
        <filter val="BUS_D3"/>
        <filter val="BUS_D4"/>
        <filter val="BUS_D5"/>
        <filter val="BUS_D6"/>
        <filter val="BUS_D7"/>
        <filter val="BUS_D8"/>
        <filter val="BUS_D9"/>
        <filter val="BUS_EBCLK"/>
        <filter val="BUS_R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5D29-2D0F-40BA-A896-F60241A1E0C7}">
  <dimension ref="E5:AA33"/>
  <sheetViews>
    <sheetView tabSelected="1" workbookViewId="0">
      <selection activeCell="H31" sqref="H31"/>
    </sheetView>
  </sheetViews>
  <sheetFormatPr defaultRowHeight="15" x14ac:dyDescent="0.25"/>
  <cols>
    <col min="6" max="6" width="4.5703125" customWidth="1"/>
    <col min="8" max="8" width="21.28515625" customWidth="1"/>
    <col min="9" max="9" width="4.5703125" customWidth="1"/>
  </cols>
  <sheetData>
    <row r="5" spans="5:27" x14ac:dyDescent="0.25">
      <c r="Y5" t="s">
        <v>1281</v>
      </c>
      <c r="AA5" t="s">
        <v>786</v>
      </c>
    </row>
    <row r="6" spans="5:27" x14ac:dyDescent="0.25">
      <c r="F6">
        <v>1</v>
      </c>
      <c r="G6" s="7" t="s">
        <v>1281</v>
      </c>
      <c r="H6" s="7"/>
      <c r="I6">
        <v>2</v>
      </c>
      <c r="J6" t="s">
        <v>1065</v>
      </c>
      <c r="Y6" t="s">
        <v>751</v>
      </c>
      <c r="AA6" t="s">
        <v>757</v>
      </c>
    </row>
    <row r="7" spans="5:27" x14ac:dyDescent="0.25">
      <c r="F7">
        <f>F6+2</f>
        <v>3</v>
      </c>
      <c r="G7" t="s">
        <v>1068</v>
      </c>
      <c r="I7">
        <f t="shared" ref="I7:I25" si="0">I6+2</f>
        <v>4</v>
      </c>
      <c r="J7" s="8" t="s">
        <v>491</v>
      </c>
      <c r="Y7" t="s">
        <v>1109</v>
      </c>
      <c r="AA7" t="s">
        <v>1095</v>
      </c>
    </row>
    <row r="8" spans="5:27" x14ac:dyDescent="0.25">
      <c r="F8">
        <f t="shared" ref="F8:F25" si="1">F7+2</f>
        <v>5</v>
      </c>
      <c r="G8" s="8" t="s">
        <v>482</v>
      </c>
      <c r="I8">
        <f t="shared" si="0"/>
        <v>6</v>
      </c>
      <c r="J8" s="8" t="s">
        <v>438</v>
      </c>
      <c r="Y8" t="s">
        <v>223</v>
      </c>
      <c r="AA8" t="s">
        <v>766</v>
      </c>
    </row>
    <row r="9" spans="5:27" x14ac:dyDescent="0.25">
      <c r="F9">
        <f t="shared" si="1"/>
        <v>7</v>
      </c>
      <c r="G9" s="8" t="s">
        <v>472</v>
      </c>
      <c r="I9">
        <f t="shared" si="0"/>
        <v>8</v>
      </c>
      <c r="J9" s="8" t="s">
        <v>460</v>
      </c>
      <c r="Y9" t="s">
        <v>773</v>
      </c>
      <c r="AA9" t="s">
        <v>792</v>
      </c>
    </row>
    <row r="10" spans="5:27" x14ac:dyDescent="0.25">
      <c r="F10">
        <f t="shared" si="1"/>
        <v>9</v>
      </c>
      <c r="G10" s="8" t="s">
        <v>448</v>
      </c>
      <c r="I10">
        <f t="shared" si="0"/>
        <v>10</v>
      </c>
      <c r="J10" s="8" t="s">
        <v>405</v>
      </c>
      <c r="Y10" t="s">
        <v>691</v>
      </c>
      <c r="AA10" t="s">
        <v>701</v>
      </c>
    </row>
    <row r="11" spans="5:27" x14ac:dyDescent="0.25">
      <c r="F11">
        <f t="shared" si="1"/>
        <v>11</v>
      </c>
      <c r="G11" t="s">
        <v>250</v>
      </c>
      <c r="I11">
        <f t="shared" si="0"/>
        <v>12</v>
      </c>
      <c r="J11" s="8" t="s">
        <v>419</v>
      </c>
      <c r="P11" t="s">
        <v>797</v>
      </c>
      <c r="Q11" s="3" t="s">
        <v>1279</v>
      </c>
      <c r="R11" s="3">
        <v>38</v>
      </c>
      <c r="S11" t="s">
        <v>798</v>
      </c>
      <c r="T11" s="2" t="s">
        <v>507</v>
      </c>
      <c r="Y11" t="s">
        <v>713</v>
      </c>
      <c r="AA11" t="s">
        <v>781</v>
      </c>
    </row>
    <row r="12" spans="5:27" x14ac:dyDescent="0.25">
      <c r="F12">
        <f t="shared" si="1"/>
        <v>13</v>
      </c>
      <c r="G12" t="s">
        <v>276</v>
      </c>
      <c r="I12">
        <f t="shared" si="0"/>
        <v>14</v>
      </c>
      <c r="J12" s="8" t="s">
        <v>428</v>
      </c>
      <c r="P12" t="s">
        <v>802</v>
      </c>
      <c r="Q12" s="3" t="s">
        <v>1279</v>
      </c>
      <c r="R12" s="3">
        <v>16</v>
      </c>
      <c r="S12" t="s">
        <v>803</v>
      </c>
      <c r="T12" s="2" t="s">
        <v>374</v>
      </c>
      <c r="Y12" t="s">
        <v>695</v>
      </c>
      <c r="AA12" t="s">
        <v>989</v>
      </c>
    </row>
    <row r="13" spans="5:27" x14ac:dyDescent="0.25">
      <c r="F13">
        <f t="shared" si="1"/>
        <v>15</v>
      </c>
      <c r="G13" t="s">
        <v>264</v>
      </c>
      <c r="I13">
        <f t="shared" si="0"/>
        <v>16</v>
      </c>
      <c r="J13" s="2" t="s">
        <v>802</v>
      </c>
      <c r="K13" t="s">
        <v>374</v>
      </c>
      <c r="P13" t="s">
        <v>810</v>
      </c>
      <c r="Q13" s="3" t="s">
        <v>1279</v>
      </c>
      <c r="R13" s="3">
        <v>22</v>
      </c>
      <c r="S13" t="s">
        <v>811</v>
      </c>
      <c r="T13" s="2" t="s">
        <v>813</v>
      </c>
      <c r="Y13" t="s">
        <v>154</v>
      </c>
      <c r="AA13" t="s">
        <v>671</v>
      </c>
    </row>
    <row r="14" spans="5:27" x14ac:dyDescent="0.25">
      <c r="F14">
        <f t="shared" si="1"/>
        <v>17</v>
      </c>
      <c r="G14" t="s">
        <v>1150</v>
      </c>
      <c r="I14">
        <f t="shared" si="0"/>
        <v>18</v>
      </c>
      <c r="J14" t="s">
        <v>1137</v>
      </c>
      <c r="P14" t="s">
        <v>819</v>
      </c>
      <c r="Q14" s="3" t="s">
        <v>1279</v>
      </c>
      <c r="R14" s="3">
        <v>19</v>
      </c>
      <c r="S14" t="s">
        <v>769</v>
      </c>
      <c r="T14" s="2" t="s">
        <v>821</v>
      </c>
      <c r="Y14" t="s">
        <v>135</v>
      </c>
      <c r="AA14" t="s">
        <v>683</v>
      </c>
    </row>
    <row r="15" spans="5:27" x14ac:dyDescent="0.25">
      <c r="E15" t="s">
        <v>821</v>
      </c>
      <c r="F15">
        <f t="shared" si="1"/>
        <v>19</v>
      </c>
      <c r="G15" s="2" t="s">
        <v>819</v>
      </c>
      <c r="I15">
        <f t="shared" si="0"/>
        <v>20</v>
      </c>
      <c r="J15" t="s">
        <v>1141</v>
      </c>
      <c r="P15" t="s">
        <v>826</v>
      </c>
      <c r="Q15" s="3" t="s">
        <v>1279</v>
      </c>
      <c r="R15" s="3">
        <v>29</v>
      </c>
      <c r="S15" t="s">
        <v>827</v>
      </c>
      <c r="T15" s="2" t="s">
        <v>343</v>
      </c>
      <c r="Y15" t="s">
        <v>128</v>
      </c>
      <c r="AA15" t="s">
        <v>707</v>
      </c>
    </row>
    <row r="16" spans="5:27" x14ac:dyDescent="0.25">
      <c r="F16">
        <f t="shared" si="1"/>
        <v>21</v>
      </c>
      <c r="G16" t="s">
        <v>1145</v>
      </c>
      <c r="I16">
        <f t="shared" si="0"/>
        <v>22</v>
      </c>
      <c r="J16" s="2" t="s">
        <v>810</v>
      </c>
      <c r="K16" t="s">
        <v>813</v>
      </c>
      <c r="P16" t="s">
        <v>833</v>
      </c>
      <c r="Q16" s="3" t="s">
        <v>1279</v>
      </c>
      <c r="R16" s="3">
        <v>23</v>
      </c>
      <c r="S16" t="s">
        <v>834</v>
      </c>
      <c r="T16" s="2" t="s">
        <v>599</v>
      </c>
      <c r="Y16" t="s">
        <v>100</v>
      </c>
      <c r="AA16" t="s">
        <v>725</v>
      </c>
    </row>
    <row r="17" spans="5:27" x14ac:dyDescent="0.25">
      <c r="E17" t="s">
        <v>599</v>
      </c>
      <c r="F17">
        <f t="shared" si="1"/>
        <v>23</v>
      </c>
      <c r="G17" s="2" t="s">
        <v>833</v>
      </c>
      <c r="H17" t="s">
        <v>405</v>
      </c>
      <c r="I17">
        <f t="shared" si="0"/>
        <v>24</v>
      </c>
      <c r="J17" s="2" t="s">
        <v>845</v>
      </c>
      <c r="K17" t="s">
        <v>629</v>
      </c>
      <c r="P17" t="s">
        <v>839</v>
      </c>
      <c r="Q17" s="3" t="s">
        <v>1279</v>
      </c>
      <c r="R17" s="3">
        <v>27</v>
      </c>
      <c r="S17" t="s">
        <v>840</v>
      </c>
      <c r="T17" s="2" t="s">
        <v>638</v>
      </c>
      <c r="Y17" t="s">
        <v>107</v>
      </c>
      <c r="AA17" t="s">
        <v>46</v>
      </c>
    </row>
    <row r="18" spans="5:27" x14ac:dyDescent="0.25">
      <c r="E18" s="4" t="s">
        <v>1283</v>
      </c>
      <c r="F18" s="4">
        <f t="shared" si="1"/>
        <v>25</v>
      </c>
      <c r="G18" s="4" t="s">
        <v>1126</v>
      </c>
      <c r="I18">
        <f t="shared" si="0"/>
        <v>26</v>
      </c>
      <c r="J18" t="s">
        <v>1132</v>
      </c>
      <c r="P18" t="s">
        <v>845</v>
      </c>
      <c r="Q18" s="3" t="s">
        <v>1279</v>
      </c>
      <c r="R18" s="3">
        <v>24</v>
      </c>
      <c r="S18" t="s">
        <v>846</v>
      </c>
      <c r="T18" s="2" t="s">
        <v>629</v>
      </c>
      <c r="Y18" t="s">
        <v>75</v>
      </c>
      <c r="AA18" t="s">
        <v>54</v>
      </c>
    </row>
    <row r="19" spans="5:27" x14ac:dyDescent="0.25">
      <c r="E19" t="s">
        <v>638</v>
      </c>
      <c r="F19">
        <f t="shared" si="1"/>
        <v>27</v>
      </c>
      <c r="G19" s="2" t="s">
        <v>839</v>
      </c>
      <c r="H19" t="s">
        <v>419</v>
      </c>
      <c r="I19">
        <f t="shared" si="0"/>
        <v>28</v>
      </c>
      <c r="J19" t="s">
        <v>1157</v>
      </c>
      <c r="P19" t="s">
        <v>1071</v>
      </c>
      <c r="Q19" s="3" t="s">
        <v>1279</v>
      </c>
      <c r="R19" s="3">
        <v>34</v>
      </c>
      <c r="S19" t="s">
        <v>1072</v>
      </c>
      <c r="T19" s="2" t="s">
        <v>521</v>
      </c>
      <c r="Y19" t="s">
        <v>993</v>
      </c>
      <c r="AA19" t="s">
        <v>1242</v>
      </c>
    </row>
    <row r="20" spans="5:27" x14ac:dyDescent="0.25">
      <c r="E20" t="s">
        <v>343</v>
      </c>
      <c r="F20">
        <f t="shared" si="1"/>
        <v>29</v>
      </c>
      <c r="G20" s="2" t="s">
        <v>826</v>
      </c>
      <c r="I20">
        <f t="shared" si="0"/>
        <v>30</v>
      </c>
      <c r="J20" s="2" t="s">
        <v>1120</v>
      </c>
      <c r="K20" t="s">
        <v>661</v>
      </c>
      <c r="P20" t="s">
        <v>1076</v>
      </c>
      <c r="Q20" s="3" t="s">
        <v>1279</v>
      </c>
      <c r="R20" s="3">
        <v>33</v>
      </c>
      <c r="S20" t="s">
        <v>1077</v>
      </c>
      <c r="T20" s="4" t="s">
        <v>1079</v>
      </c>
      <c r="Y20" t="s">
        <v>984</v>
      </c>
      <c r="AA20" t="s">
        <v>1236</v>
      </c>
    </row>
    <row r="21" spans="5:27" x14ac:dyDescent="0.25">
      <c r="F21">
        <f t="shared" si="1"/>
        <v>31</v>
      </c>
      <c r="G21" t="s">
        <v>1088</v>
      </c>
      <c r="I21">
        <f t="shared" si="0"/>
        <v>32</v>
      </c>
      <c r="J21" t="s">
        <v>1115</v>
      </c>
      <c r="P21" t="s">
        <v>1120</v>
      </c>
      <c r="Q21" s="3" t="s">
        <v>1279</v>
      </c>
      <c r="R21" s="3">
        <v>30</v>
      </c>
      <c r="S21" t="s">
        <v>1121</v>
      </c>
      <c r="T21" s="2" t="s">
        <v>661</v>
      </c>
      <c r="W21" s="2" t="s">
        <v>406</v>
      </c>
      <c r="Y21" t="s">
        <v>997</v>
      </c>
      <c r="AA21" t="s">
        <v>1245</v>
      </c>
    </row>
    <row r="22" spans="5:27" x14ac:dyDescent="0.25">
      <c r="E22" s="4" t="s">
        <v>1079</v>
      </c>
      <c r="F22" s="4">
        <f t="shared" si="1"/>
        <v>33</v>
      </c>
      <c r="G22" s="4" t="s">
        <v>1076</v>
      </c>
      <c r="I22">
        <f t="shared" si="0"/>
        <v>34</v>
      </c>
      <c r="J22" s="2" t="s">
        <v>1071</v>
      </c>
      <c r="K22" t="s">
        <v>521</v>
      </c>
      <c r="P22" t="s">
        <v>1126</v>
      </c>
      <c r="Q22" s="3" t="s">
        <v>1279</v>
      </c>
      <c r="R22" s="3">
        <v>25</v>
      </c>
      <c r="S22" t="s">
        <v>1127</v>
      </c>
      <c r="T22" s="4" t="s">
        <v>1129</v>
      </c>
      <c r="W22" s="2" t="s">
        <v>507</v>
      </c>
      <c r="Y22" t="s">
        <v>677</v>
      </c>
      <c r="AA22" t="s">
        <v>1239</v>
      </c>
    </row>
    <row r="23" spans="5:27" x14ac:dyDescent="0.25">
      <c r="F23">
        <f t="shared" si="1"/>
        <v>35</v>
      </c>
      <c r="G23" t="s">
        <v>1102</v>
      </c>
      <c r="I23">
        <f t="shared" si="0"/>
        <v>36</v>
      </c>
      <c r="J23" t="s">
        <v>1002</v>
      </c>
      <c r="W23" s="2" t="s">
        <v>374</v>
      </c>
      <c r="Y23" t="s">
        <v>688</v>
      </c>
      <c r="AA23" t="s">
        <v>730</v>
      </c>
    </row>
    <row r="24" spans="5:27" x14ac:dyDescent="0.25">
      <c r="F24">
        <f t="shared" si="1"/>
        <v>37</v>
      </c>
      <c r="G24" t="s">
        <v>243</v>
      </c>
      <c r="I24">
        <f t="shared" si="0"/>
        <v>38</v>
      </c>
      <c r="J24" s="2" t="s">
        <v>797</v>
      </c>
      <c r="K24" t="s">
        <v>507</v>
      </c>
      <c r="W24" s="2" t="s">
        <v>813</v>
      </c>
      <c r="Y24" t="s">
        <v>147</v>
      </c>
      <c r="AA24" t="s">
        <v>92</v>
      </c>
    </row>
    <row r="25" spans="5:27" x14ac:dyDescent="0.25">
      <c r="F25">
        <f t="shared" si="1"/>
        <v>39</v>
      </c>
      <c r="G25" s="6" t="s">
        <v>1282</v>
      </c>
      <c r="H25" s="6"/>
      <c r="I25">
        <f t="shared" si="0"/>
        <v>40</v>
      </c>
      <c r="J25" t="s">
        <v>1081</v>
      </c>
      <c r="W25" s="2" t="s">
        <v>821</v>
      </c>
      <c r="Y25" t="s">
        <v>720</v>
      </c>
      <c r="AA25" t="s">
        <v>114</v>
      </c>
    </row>
    <row r="26" spans="5:27" x14ac:dyDescent="0.25">
      <c r="W26" s="2" t="s">
        <v>343</v>
      </c>
      <c r="Y26" t="s">
        <v>142</v>
      </c>
      <c r="AA26" t="s">
        <v>85</v>
      </c>
    </row>
    <row r="27" spans="5:27" x14ac:dyDescent="0.25">
      <c r="W27" s="2" t="s">
        <v>599</v>
      </c>
      <c r="Y27" t="s">
        <v>120</v>
      </c>
      <c r="AA27" t="s">
        <v>965</v>
      </c>
    </row>
    <row r="28" spans="5:27" x14ac:dyDescent="0.25">
      <c r="W28" s="2" t="s">
        <v>638</v>
      </c>
      <c r="Y28" t="s">
        <v>970</v>
      </c>
      <c r="AA28" t="s">
        <v>67</v>
      </c>
    </row>
    <row r="29" spans="5:27" x14ac:dyDescent="0.25">
      <c r="W29" s="2" t="s">
        <v>629</v>
      </c>
      <c r="Y29" t="s">
        <v>1282</v>
      </c>
      <c r="AA29" t="s">
        <v>975</v>
      </c>
    </row>
    <row r="30" spans="5:27" x14ac:dyDescent="0.25">
      <c r="W30" s="2" t="s">
        <v>521</v>
      </c>
    </row>
    <row r="31" spans="5:27" x14ac:dyDescent="0.25">
      <c r="W31" s="4" t="s">
        <v>1079</v>
      </c>
    </row>
    <row r="32" spans="5:27" x14ac:dyDescent="0.25">
      <c r="W32" s="2" t="s">
        <v>661</v>
      </c>
    </row>
    <row r="33" spans="23:23" x14ac:dyDescent="0.25">
      <c r="W33" s="4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RA8M1 EK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Drinkard</dc:creator>
  <cp:lastModifiedBy>Dale Drinkard</cp:lastModifiedBy>
  <dcterms:created xsi:type="dcterms:W3CDTF">2025-05-05T11:56:09Z</dcterms:created>
  <dcterms:modified xsi:type="dcterms:W3CDTF">2025-05-09T14:58:17Z</dcterms:modified>
</cp:coreProperties>
</file>